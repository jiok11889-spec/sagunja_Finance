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sajunja-finance\data\"/>
    </mc:Choice>
  </mc:AlternateContent>
  <xr:revisionPtr revIDLastSave="0" documentId="13_ncr:1_{C01265D9-D5D8-4830-9D85-D8C99E1F3D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회비입출내역" sheetId="2" r:id="rId1"/>
    <sheet name="입금현황" sheetId="3" r:id="rId2"/>
    <sheet name="원장" sheetId="4" r:id="rId3"/>
    <sheet name="증감분석" sheetId="5" r:id="rId4"/>
    <sheet name="증감분석차트" sheetId="6" r:id="rId5"/>
    <sheet name="참고" sheetId="7" r:id="rId6"/>
    <sheet name="주요정보" sheetId="1" r:id="rId7"/>
    <sheet name="참조" sheetId="8" state="hidden" r:id="rId8"/>
  </sheets>
  <definedNames>
    <definedName name="_xlnm.Print_Area" localSheetId="0">회비입출내역!$A$2:$J$15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7" i="4" l="1"/>
  <c r="G102" i="4"/>
  <c r="H98" i="4"/>
  <c r="B98" i="4"/>
  <c r="A98" i="4"/>
  <c r="H101" i="4"/>
  <c r="B101" i="4"/>
  <c r="A101" i="4"/>
  <c r="H100" i="4"/>
  <c r="B100" i="4"/>
  <c r="A100" i="4"/>
  <c r="H99" i="4"/>
  <c r="B99" i="4"/>
  <c r="A99" i="4"/>
  <c r="A1" i="7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B109" i="4"/>
  <c r="A109" i="4"/>
  <c r="G109" i="4" s="1"/>
  <c r="H109" i="4" s="1"/>
  <c r="B108" i="4"/>
  <c r="A108" i="4"/>
  <c r="G108" i="4" s="1"/>
  <c r="H108" i="4" s="1"/>
  <c r="B107" i="4"/>
  <c r="A107" i="4"/>
  <c r="G107" i="4" s="1"/>
  <c r="H107" i="4" s="1"/>
  <c r="B106" i="4"/>
  <c r="A106" i="4"/>
  <c r="G106" i="4" s="1"/>
  <c r="H106" i="4" s="1"/>
  <c r="B105" i="4"/>
  <c r="A105" i="4"/>
  <c r="G105" i="4" s="1"/>
  <c r="H105" i="4" s="1"/>
  <c r="B104" i="4"/>
  <c r="A104" i="4"/>
  <c r="G104" i="4" s="1"/>
  <c r="H104" i="4" s="1"/>
  <c r="B103" i="4"/>
  <c r="A103" i="4"/>
  <c r="B102" i="4"/>
  <c r="A102" i="4"/>
  <c r="B97" i="4"/>
  <c r="A97" i="4"/>
  <c r="H96" i="4"/>
  <c r="B96" i="4"/>
  <c r="A96" i="4"/>
  <c r="H95" i="4"/>
  <c r="B95" i="4"/>
  <c r="A95" i="4"/>
  <c r="H94" i="4"/>
  <c r="B94" i="4"/>
  <c r="A94" i="4"/>
  <c r="H93" i="4"/>
  <c r="B93" i="4"/>
  <c r="A93" i="4"/>
  <c r="H92" i="4"/>
  <c r="B92" i="4"/>
  <c r="A92" i="4"/>
  <c r="B91" i="4"/>
  <c r="A91" i="4"/>
  <c r="G91" i="4" s="1"/>
  <c r="H91" i="4" s="1"/>
  <c r="H90" i="4"/>
  <c r="B90" i="4"/>
  <c r="A90" i="4"/>
  <c r="H89" i="4"/>
  <c r="B89" i="4"/>
  <c r="A89" i="4"/>
  <c r="B88" i="4"/>
  <c r="A88" i="4"/>
  <c r="G88" i="4" s="1"/>
  <c r="H88" i="4" s="1"/>
  <c r="H87" i="4"/>
  <c r="B87" i="4"/>
  <c r="A87" i="4"/>
  <c r="H86" i="4"/>
  <c r="B86" i="4"/>
  <c r="A86" i="4"/>
  <c r="H85" i="4"/>
  <c r="I6" i="2" s="1"/>
  <c r="B85" i="4"/>
  <c r="A85" i="4"/>
  <c r="B84" i="4"/>
  <c r="A84" i="4"/>
  <c r="G84" i="4" s="1"/>
  <c r="H84" i="4" s="1"/>
  <c r="H83" i="4"/>
  <c r="B83" i="4"/>
  <c r="A83" i="4"/>
  <c r="H82" i="4"/>
  <c r="B82" i="4"/>
  <c r="A82" i="4"/>
  <c r="H81" i="4"/>
  <c r="B81" i="4"/>
  <c r="A81" i="4"/>
  <c r="H80" i="4"/>
  <c r="B80" i="4"/>
  <c r="A80" i="4"/>
  <c r="H79" i="4"/>
  <c r="B79" i="4"/>
  <c r="A79" i="4"/>
  <c r="H78" i="4"/>
  <c r="B78" i="4"/>
  <c r="A78" i="4"/>
  <c r="B77" i="4"/>
  <c r="A77" i="4"/>
  <c r="G77" i="4" s="1"/>
  <c r="H77" i="4" s="1"/>
  <c r="H76" i="4"/>
  <c r="B76" i="4"/>
  <c r="A76" i="4"/>
  <c r="H75" i="4"/>
  <c r="B75" i="4"/>
  <c r="A75" i="4"/>
  <c r="H74" i="4"/>
  <c r="B74" i="4"/>
  <c r="A74" i="4"/>
  <c r="B73" i="4"/>
  <c r="A73" i="4"/>
  <c r="G73" i="4" s="1"/>
  <c r="H73" i="4" s="1"/>
  <c r="H72" i="4"/>
  <c r="B72" i="4"/>
  <c r="A72" i="4"/>
  <c r="H71" i="4"/>
  <c r="B71" i="4"/>
  <c r="A71" i="4"/>
  <c r="B70" i="4"/>
  <c r="A70" i="4"/>
  <c r="G70" i="4" s="1"/>
  <c r="H70" i="4" s="1"/>
  <c r="H69" i="4"/>
  <c r="B69" i="4"/>
  <c r="A69" i="4"/>
  <c r="H68" i="4"/>
  <c r="B68" i="4"/>
  <c r="A68" i="4"/>
  <c r="H67" i="4"/>
  <c r="B67" i="4"/>
  <c r="A67" i="4"/>
  <c r="H66" i="4"/>
  <c r="B66" i="4"/>
  <c r="A66" i="4"/>
  <c r="H65" i="4"/>
  <c r="B65" i="4"/>
  <c r="A65" i="4"/>
  <c r="B64" i="4"/>
  <c r="A64" i="4"/>
  <c r="G64" i="4" s="1"/>
  <c r="H64" i="4" s="1"/>
  <c r="H63" i="4"/>
  <c r="B63" i="4"/>
  <c r="A63" i="4"/>
  <c r="F62" i="4"/>
  <c r="H62" i="4" s="1"/>
  <c r="I13" i="2" s="1"/>
  <c r="B62" i="4"/>
  <c r="A62" i="4"/>
  <c r="H61" i="4"/>
  <c r="B61" i="4"/>
  <c r="A61" i="4"/>
  <c r="H60" i="4"/>
  <c r="B60" i="4"/>
  <c r="A60" i="4"/>
  <c r="H59" i="4"/>
  <c r="B59" i="4"/>
  <c r="A59" i="4"/>
  <c r="H58" i="4"/>
  <c r="B58" i="4"/>
  <c r="A58" i="4"/>
  <c r="H57" i="4"/>
  <c r="B57" i="4"/>
  <c r="A57" i="4"/>
  <c r="B56" i="4"/>
  <c r="A56" i="4"/>
  <c r="G56" i="4" s="1"/>
  <c r="H56" i="4" s="1"/>
  <c r="H55" i="4"/>
  <c r="B55" i="4"/>
  <c r="A55" i="4"/>
  <c r="H54" i="4"/>
  <c r="B54" i="4"/>
  <c r="A54" i="4"/>
  <c r="H53" i="4"/>
  <c r="B53" i="4"/>
  <c r="A53" i="4"/>
  <c r="F52" i="4"/>
  <c r="H52" i="4" s="1"/>
  <c r="B52" i="4"/>
  <c r="A52" i="4"/>
  <c r="B51" i="4"/>
  <c r="A51" i="4"/>
  <c r="G51" i="4" s="1"/>
  <c r="H51" i="4" s="1"/>
  <c r="H50" i="4"/>
  <c r="B50" i="4"/>
  <c r="A50" i="4"/>
  <c r="H49" i="4"/>
  <c r="B49" i="4"/>
  <c r="A49" i="4"/>
  <c r="H48" i="4"/>
  <c r="B48" i="4"/>
  <c r="A48" i="4"/>
  <c r="H47" i="4"/>
  <c r="B47" i="4"/>
  <c r="A47" i="4"/>
  <c r="H46" i="4"/>
  <c r="B46" i="4"/>
  <c r="A46" i="4"/>
  <c r="B45" i="4"/>
  <c r="A45" i="4"/>
  <c r="G45" i="4" s="1"/>
  <c r="H45" i="4" s="1"/>
  <c r="H44" i="4"/>
  <c r="B44" i="4"/>
  <c r="A44" i="4"/>
  <c r="H43" i="4"/>
  <c r="B43" i="4"/>
  <c r="A43" i="4"/>
  <c r="F42" i="4"/>
  <c r="H42" i="4" s="1"/>
  <c r="B42" i="4"/>
  <c r="A42" i="4"/>
  <c r="F41" i="4"/>
  <c r="H41" i="4" s="1"/>
  <c r="B41" i="4"/>
  <c r="A41" i="4"/>
  <c r="F40" i="4"/>
  <c r="H40" i="4" s="1"/>
  <c r="B40" i="4"/>
  <c r="A40" i="4"/>
  <c r="B39" i="4"/>
  <c r="A39" i="4"/>
  <c r="G39" i="4" s="1"/>
  <c r="H39" i="4" s="1"/>
  <c r="H38" i="4"/>
  <c r="B38" i="4"/>
  <c r="A38" i="4"/>
  <c r="B37" i="4"/>
  <c r="A37" i="4"/>
  <c r="G37" i="4" s="1"/>
  <c r="H37" i="4" s="1"/>
  <c r="H36" i="4"/>
  <c r="B36" i="4"/>
  <c r="A36" i="4"/>
  <c r="H35" i="4"/>
  <c r="B35" i="4"/>
  <c r="A35" i="4"/>
  <c r="H34" i="4"/>
  <c r="B34" i="4"/>
  <c r="A34" i="4"/>
  <c r="G33" i="4"/>
  <c r="H33" i="4" s="1"/>
  <c r="B33" i="4"/>
  <c r="A33" i="4"/>
  <c r="B32" i="4"/>
  <c r="A32" i="4"/>
  <c r="G32" i="4" s="1"/>
  <c r="H32" i="4" s="1"/>
  <c r="H31" i="4"/>
  <c r="B31" i="4"/>
  <c r="A31" i="4"/>
  <c r="H30" i="4"/>
  <c r="B30" i="4"/>
  <c r="A30" i="4"/>
  <c r="H29" i="4"/>
  <c r="B29" i="4"/>
  <c r="A29" i="4"/>
  <c r="H28" i="4"/>
  <c r="B28" i="4"/>
  <c r="A28" i="4"/>
  <c r="H27" i="4"/>
  <c r="B27" i="4"/>
  <c r="A27" i="4"/>
  <c r="B26" i="4"/>
  <c r="A26" i="4"/>
  <c r="G26" i="4" s="1"/>
  <c r="H26" i="4" s="1"/>
  <c r="H25" i="4"/>
  <c r="B25" i="4"/>
  <c r="A25" i="4"/>
  <c r="H24" i="4"/>
  <c r="B24" i="4"/>
  <c r="A24" i="4"/>
  <c r="H23" i="4"/>
  <c r="B23" i="4"/>
  <c r="A23" i="4"/>
  <c r="H22" i="4"/>
  <c r="B22" i="4"/>
  <c r="A22" i="4"/>
  <c r="B21" i="4"/>
  <c r="A21" i="4"/>
  <c r="G21" i="4" s="1"/>
  <c r="H21" i="4" s="1"/>
  <c r="G20" i="4"/>
  <c r="H20" i="4" s="1"/>
  <c r="B20" i="4"/>
  <c r="A20" i="4"/>
  <c r="H19" i="4"/>
  <c r="B19" i="4"/>
  <c r="A19" i="4"/>
  <c r="H18" i="4"/>
  <c r="B18" i="4"/>
  <c r="A18" i="4"/>
  <c r="B17" i="4"/>
  <c r="A17" i="4"/>
  <c r="G17" i="4" s="1"/>
  <c r="H17" i="4" s="1"/>
  <c r="D17" i="5" s="1"/>
  <c r="F16" i="4"/>
  <c r="H16" i="4" s="1"/>
  <c r="B16" i="4"/>
  <c r="A16" i="4"/>
  <c r="H15" i="4"/>
  <c r="B15" i="4"/>
  <c r="A15" i="4"/>
  <c r="B14" i="4"/>
  <c r="A14" i="4"/>
  <c r="G14" i="4" s="1"/>
  <c r="H14" i="4" s="1"/>
  <c r="H13" i="4"/>
  <c r="B13" i="4"/>
  <c r="A13" i="4"/>
  <c r="H12" i="4"/>
  <c r="B12" i="4"/>
  <c r="A12" i="4"/>
  <c r="B11" i="4"/>
  <c r="A11" i="4"/>
  <c r="G11" i="4" s="1"/>
  <c r="H11" i="4" s="1"/>
  <c r="F10" i="4"/>
  <c r="H10" i="4" s="1"/>
  <c r="B10" i="4"/>
  <c r="A10" i="4"/>
  <c r="B9" i="4"/>
  <c r="A9" i="4"/>
  <c r="G9" i="4" s="1"/>
  <c r="H9" i="4" s="1"/>
  <c r="F8" i="4"/>
  <c r="H8" i="4" s="1"/>
  <c r="B8" i="4"/>
  <c r="A8" i="4"/>
  <c r="B7" i="4"/>
  <c r="A7" i="4"/>
  <c r="G7" i="4" s="1"/>
  <c r="H7" i="4" s="1"/>
  <c r="H6" i="4"/>
  <c r="B6" i="4"/>
  <c r="A6" i="4"/>
  <c r="B5" i="4"/>
  <c r="A5" i="4"/>
  <c r="G5" i="4" s="1"/>
  <c r="H5" i="4" s="1"/>
  <c r="F4" i="4"/>
  <c r="H4" i="4" s="1"/>
  <c r="B4" i="4"/>
  <c r="A4" i="4"/>
  <c r="B3" i="4"/>
  <c r="A3" i="4"/>
  <c r="K21" i="5" s="1"/>
  <c r="J9" i="1"/>
  <c r="I9" i="1"/>
  <c r="H9" i="1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G103" i="4" l="1"/>
  <c r="H103" i="4" s="1"/>
  <c r="D12" i="5"/>
  <c r="D19" i="5"/>
  <c r="D18" i="5"/>
  <c r="I11" i="2"/>
  <c r="H16" i="5"/>
  <c r="D20" i="5"/>
  <c r="H20" i="5"/>
  <c r="D16" i="5"/>
  <c r="I12" i="2"/>
  <c r="D15" i="5"/>
  <c r="H97" i="4"/>
  <c r="Y3" i="3"/>
  <c r="C1" i="7"/>
  <c r="D1" i="7" s="1"/>
  <c r="B1" i="7"/>
  <c r="B2" i="7" s="1"/>
  <c r="I22" i="5"/>
  <c r="J21" i="5"/>
  <c r="D21" i="5"/>
  <c r="I19" i="5"/>
  <c r="K18" i="5"/>
  <c r="H17" i="5"/>
  <c r="I16" i="5"/>
  <c r="J15" i="5"/>
  <c r="D30" i="5"/>
  <c r="H29" i="5"/>
  <c r="E29" i="5"/>
  <c r="H25" i="5"/>
  <c r="J24" i="5"/>
  <c r="D24" i="5"/>
  <c r="K29" i="5"/>
  <c r="F29" i="5"/>
  <c r="K25" i="5"/>
  <c r="E25" i="5"/>
  <c r="H24" i="5"/>
  <c r="J23" i="5"/>
  <c r="D23" i="5"/>
  <c r="F22" i="5"/>
  <c r="H21" i="5"/>
  <c r="J20" i="5"/>
  <c r="F19" i="5"/>
  <c r="J18" i="5"/>
  <c r="E18" i="5"/>
  <c r="F15" i="5"/>
  <c r="H23" i="5"/>
  <c r="J22" i="5"/>
  <c r="D22" i="5"/>
  <c r="E21" i="5"/>
  <c r="F20" i="5"/>
  <c r="J19" i="5"/>
  <c r="E19" i="5"/>
  <c r="F18" i="5"/>
  <c r="I17" i="5"/>
  <c r="K16" i="5"/>
  <c r="H26" i="5"/>
  <c r="F26" i="5"/>
  <c r="E26" i="5"/>
  <c r="J25" i="5"/>
  <c r="D25" i="5"/>
  <c r="F24" i="5"/>
  <c r="I23" i="5"/>
  <c r="K22" i="5"/>
  <c r="E22" i="5"/>
  <c r="F21" i="5"/>
  <c r="I20" i="5"/>
  <c r="K19" i="5"/>
  <c r="H18" i="5"/>
  <c r="J17" i="5"/>
  <c r="J16" i="5"/>
  <c r="K15" i="5"/>
  <c r="E15" i="5"/>
  <c r="H12" i="5"/>
  <c r="F12" i="5"/>
  <c r="E12" i="5"/>
  <c r="G12" i="5" s="1"/>
  <c r="K11" i="5"/>
  <c r="J11" i="5"/>
  <c r="I11" i="5"/>
  <c r="F11" i="5"/>
  <c r="E11" i="5"/>
  <c r="E17" i="5"/>
  <c r="E16" i="5"/>
  <c r="E23" i="5"/>
  <c r="J29" i="5"/>
  <c r="D26" i="5"/>
  <c r="F25" i="5"/>
  <c r="I24" i="5"/>
  <c r="K23" i="5"/>
  <c r="H22" i="5"/>
  <c r="I21" i="5"/>
  <c r="K20" i="5"/>
  <c r="E20" i="5"/>
  <c r="H19" i="5"/>
  <c r="I18" i="5"/>
  <c r="K17" i="5"/>
  <c r="F16" i="5"/>
  <c r="H15" i="5"/>
  <c r="I15" i="5"/>
  <c r="I29" i="5"/>
  <c r="D29" i="5"/>
  <c r="I25" i="5"/>
  <c r="K24" i="5"/>
  <c r="E24" i="5"/>
  <c r="F23" i="5"/>
  <c r="F17" i="5"/>
  <c r="I7" i="2"/>
  <c r="H11" i="5"/>
  <c r="I10" i="2"/>
  <c r="J31" i="5"/>
  <c r="I31" i="5"/>
  <c r="D31" i="5"/>
  <c r="J30" i="5"/>
  <c r="H30" i="5"/>
  <c r="E30" i="5"/>
  <c r="K28" i="5"/>
  <c r="J28" i="5"/>
  <c r="I28" i="5"/>
  <c r="H28" i="5"/>
  <c r="F28" i="5"/>
  <c r="E28" i="5"/>
  <c r="D28" i="5"/>
  <c r="K27" i="5"/>
  <c r="J27" i="5"/>
  <c r="I27" i="5"/>
  <c r="G3" i="4"/>
  <c r="H3" i="4" s="1"/>
  <c r="I12" i="5"/>
  <c r="J12" i="5"/>
  <c r="K12" i="5"/>
  <c r="F31" i="5"/>
  <c r="E13" i="5"/>
  <c r="J13" i="5"/>
  <c r="F13" i="5"/>
  <c r="H13" i="5"/>
  <c r="I13" i="5"/>
  <c r="K13" i="5"/>
  <c r="D14" i="5"/>
  <c r="K32" i="5"/>
  <c r="D13" i="5"/>
  <c r="G13" i="5" s="1"/>
  <c r="F27" i="5"/>
  <c r="H27" i="5"/>
  <c r="J32" i="5"/>
  <c r="K31" i="5"/>
  <c r="H31" i="5"/>
  <c r="E31" i="5"/>
  <c r="K30" i="5"/>
  <c r="I30" i="5"/>
  <c r="F30" i="5"/>
  <c r="I32" i="5"/>
  <c r="H32" i="5"/>
  <c r="F32" i="5"/>
  <c r="E14" i="5"/>
  <c r="F14" i="5"/>
  <c r="H14" i="5"/>
  <c r="I14" i="5"/>
  <c r="J14" i="5"/>
  <c r="K14" i="5"/>
  <c r="I26" i="5"/>
  <c r="J26" i="5"/>
  <c r="K26" i="5"/>
  <c r="D27" i="5"/>
  <c r="E27" i="5"/>
  <c r="E32" i="5"/>
  <c r="D32" i="5"/>
  <c r="L28" i="5" l="1"/>
  <c r="R28" i="5" s="1"/>
  <c r="G32" i="5"/>
  <c r="Q32" i="5" s="1"/>
  <c r="G18" i="5"/>
  <c r="Q18" i="5" s="1"/>
  <c r="G26" i="5"/>
  <c r="Q26" i="5" s="1"/>
  <c r="L22" i="5"/>
  <c r="R22" i="5" s="1"/>
  <c r="G29" i="5"/>
  <c r="Q29" i="5" s="1"/>
  <c r="J9" i="2"/>
  <c r="K11" i="1" s="1"/>
  <c r="L27" i="5"/>
  <c r="R27" i="5" s="1"/>
  <c r="G30" i="5"/>
  <c r="G14" i="5"/>
  <c r="L30" i="5"/>
  <c r="R30" i="5" s="1"/>
  <c r="L21" i="5"/>
  <c r="R21" i="5" s="1"/>
  <c r="G22" i="5"/>
  <c r="G15" i="5"/>
  <c r="G16" i="5"/>
  <c r="Q16" i="5" s="1"/>
  <c r="L20" i="5"/>
  <c r="R20" i="5" s="1"/>
  <c r="L18" i="5"/>
  <c r="E1" i="7"/>
  <c r="D4" i="7"/>
  <c r="C2" i="7"/>
  <c r="C3" i="7" s="1"/>
  <c r="B3" i="7"/>
  <c r="L11" i="5"/>
  <c r="H4" i="5"/>
  <c r="D11" i="5"/>
  <c r="I5" i="2"/>
  <c r="J4" i="2" s="1"/>
  <c r="J15" i="2" s="1"/>
  <c r="J17" i="2" s="1"/>
  <c r="Q13" i="5"/>
  <c r="G21" i="5"/>
  <c r="L17" i="5"/>
  <c r="R17" i="5" s="1"/>
  <c r="L16" i="5"/>
  <c r="L29" i="5"/>
  <c r="L25" i="5"/>
  <c r="R25" i="5" s="1"/>
  <c r="G24" i="5"/>
  <c r="L24" i="5"/>
  <c r="R24" i="5" s="1"/>
  <c r="G23" i="5"/>
  <c r="L23" i="5"/>
  <c r="R23" i="5" s="1"/>
  <c r="G19" i="5"/>
  <c r="L26" i="5"/>
  <c r="G25" i="5"/>
  <c r="L12" i="5"/>
  <c r="K4" i="5"/>
  <c r="J4" i="5"/>
  <c r="I4" i="5"/>
  <c r="F4" i="5"/>
  <c r="E4" i="5"/>
  <c r="G17" i="5"/>
  <c r="G20" i="5"/>
  <c r="L19" i="5"/>
  <c r="R19" i="5" s="1"/>
  <c r="L15" i="5"/>
  <c r="R15" i="5" s="1"/>
  <c r="G31" i="5"/>
  <c r="G28" i="5"/>
  <c r="L13" i="5"/>
  <c r="L31" i="5"/>
  <c r="R31" i="5" s="1"/>
  <c r="L32" i="5"/>
  <c r="L14" i="5"/>
  <c r="R14" i="5" s="1"/>
  <c r="G27" i="5"/>
  <c r="Q12" i="5"/>
  <c r="D5" i="7" l="1"/>
  <c r="M14" i="5"/>
  <c r="Q14" i="5"/>
  <c r="R13" i="5"/>
  <c r="M13" i="5"/>
  <c r="R32" i="5"/>
  <c r="M32" i="5"/>
  <c r="M30" i="5"/>
  <c r="Q30" i="5"/>
  <c r="M22" i="5"/>
  <c r="Q22" i="5"/>
  <c r="M15" i="5"/>
  <c r="Q15" i="5"/>
  <c r="R18" i="5"/>
  <c r="M18" i="5"/>
  <c r="F1" i="7"/>
  <c r="E4" i="7"/>
  <c r="E5" i="7" s="1"/>
  <c r="C1" i="2" s="1"/>
  <c r="R11" i="5"/>
  <c r="L4" i="5"/>
  <c r="G11" i="5"/>
  <c r="D4" i="5"/>
  <c r="K10" i="1"/>
  <c r="K12" i="1" s="1"/>
  <c r="M21" i="5"/>
  <c r="Q21" i="5"/>
  <c r="Q24" i="5"/>
  <c r="M24" i="5"/>
  <c r="Q23" i="5"/>
  <c r="M23" i="5"/>
  <c r="Q19" i="5"/>
  <c r="M19" i="5"/>
  <c r="Q25" i="5"/>
  <c r="M25" i="5"/>
  <c r="Q17" i="5"/>
  <c r="M17" i="5"/>
  <c r="Q20" i="5"/>
  <c r="M20" i="5"/>
  <c r="M31" i="5"/>
  <c r="Q31" i="5"/>
  <c r="Q28" i="5"/>
  <c r="M28" i="5"/>
  <c r="Q27" i="5"/>
  <c r="M27" i="5"/>
  <c r="R16" i="5"/>
  <c r="M16" i="5"/>
  <c r="R29" i="5"/>
  <c r="M29" i="5"/>
  <c r="R26" i="5"/>
  <c r="M26" i="5"/>
  <c r="R12" i="5"/>
  <c r="M12" i="5"/>
  <c r="F1" i="2" l="1"/>
  <c r="C32" i="5"/>
  <c r="C31" i="5" s="1"/>
  <c r="C30" i="5" s="1"/>
  <c r="C29" i="5" s="1"/>
  <c r="C28" i="5" s="1"/>
  <c r="C27" i="5" s="1"/>
  <c r="C26" i="5" s="1"/>
  <c r="C25" i="5" s="1"/>
  <c r="C24" i="5" s="1"/>
  <c r="C23" i="5" s="1"/>
  <c r="C22" i="5" s="1"/>
  <c r="C21" i="5" s="1"/>
  <c r="C20" i="5" s="1"/>
  <c r="C19" i="5" s="1"/>
  <c r="C18" i="5" s="1"/>
  <c r="C17" i="5" s="1"/>
  <c r="C16" i="5" s="1"/>
  <c r="C15" i="5" s="1"/>
  <c r="C14" i="5" s="1"/>
  <c r="C13" i="5" s="1"/>
  <c r="C12" i="5" s="1"/>
  <c r="C11" i="5" s="1"/>
  <c r="G1" i="7"/>
  <c r="F4" i="7"/>
  <c r="F5" i="7" s="1"/>
  <c r="C5" i="2"/>
  <c r="C6" i="2"/>
  <c r="C7" i="2"/>
  <c r="C10" i="2"/>
  <c r="C11" i="2"/>
  <c r="C12" i="2"/>
  <c r="C13" i="2"/>
  <c r="G9" i="1"/>
  <c r="M11" i="5"/>
  <c r="Q11" i="5"/>
  <c r="G4" i="5"/>
  <c r="J18" i="2"/>
  <c r="F5" i="2" l="1"/>
  <c r="F6" i="2"/>
  <c r="F7" i="2"/>
  <c r="F10" i="2"/>
  <c r="F11" i="2"/>
  <c r="F12" i="2"/>
  <c r="F9" i="1"/>
  <c r="F13" i="2"/>
  <c r="D5" i="5"/>
  <c r="E5" i="5"/>
  <c r="F5" i="5"/>
  <c r="G5" i="5"/>
  <c r="H10" i="1" s="1"/>
  <c r="H5" i="5"/>
  <c r="I5" i="5"/>
  <c r="J5" i="5"/>
  <c r="K5" i="5"/>
  <c r="L5" i="5"/>
  <c r="H11" i="1" s="1"/>
  <c r="H12" i="1" s="1"/>
  <c r="D6" i="5"/>
  <c r="E6" i="5"/>
  <c r="F6" i="5"/>
  <c r="G6" i="5"/>
  <c r="I10" i="1" s="1"/>
  <c r="H6" i="5"/>
  <c r="I6" i="5"/>
  <c r="J6" i="5"/>
  <c r="K6" i="5"/>
  <c r="L6" i="5"/>
  <c r="I11" i="1" s="1"/>
  <c r="D7" i="5"/>
  <c r="E7" i="5"/>
  <c r="F7" i="5"/>
  <c r="G7" i="5"/>
  <c r="J10" i="1" s="1"/>
  <c r="K7" i="5"/>
  <c r="H7" i="5"/>
  <c r="I7" i="5"/>
  <c r="J7" i="5"/>
  <c r="L7" i="5"/>
  <c r="J11" i="1" s="1"/>
  <c r="D4" i="2"/>
  <c r="D9" i="2"/>
  <c r="G11" i="1" s="1"/>
  <c r="H1" i="7"/>
  <c r="G4" i="7"/>
  <c r="G5" i="7" s="1"/>
  <c r="N11" i="5"/>
  <c r="S11" i="5" s="1"/>
  <c r="N12" i="5"/>
  <c r="S12" i="5" s="1"/>
  <c r="N13" i="5"/>
  <c r="S13" i="5" s="1"/>
  <c r="N14" i="5"/>
  <c r="S14" i="5" s="1"/>
  <c r="N21" i="5"/>
  <c r="S21" i="5" s="1"/>
  <c r="N15" i="5"/>
  <c r="S15" i="5" s="1"/>
  <c r="N19" i="5"/>
  <c r="S19" i="5" s="1"/>
  <c r="N22" i="5"/>
  <c r="S22" i="5" s="1"/>
  <c r="N26" i="5"/>
  <c r="S26" i="5" s="1"/>
  <c r="N27" i="5"/>
  <c r="S27" i="5" s="1"/>
  <c r="N28" i="5"/>
  <c r="S28" i="5" s="1"/>
  <c r="N25" i="5"/>
  <c r="S25" i="5" s="1"/>
  <c r="N29" i="5"/>
  <c r="S29" i="5" s="1"/>
  <c r="N31" i="5"/>
  <c r="S31" i="5" s="1"/>
  <c r="N32" i="5"/>
  <c r="S32" i="5" s="1"/>
  <c r="N16" i="5"/>
  <c r="S16" i="5" s="1"/>
  <c r="N24" i="5"/>
  <c r="S24" i="5" s="1"/>
  <c r="N30" i="5"/>
  <c r="S30" i="5" s="1"/>
  <c r="N18" i="5"/>
  <c r="S18" i="5" s="1"/>
  <c r="N17" i="5"/>
  <c r="S17" i="5" s="1"/>
  <c r="N20" i="5"/>
  <c r="S20" i="5" s="1"/>
  <c r="N23" i="5"/>
  <c r="S23" i="5" s="1"/>
  <c r="G4" i="2" l="1"/>
  <c r="F10" i="1" s="1"/>
  <c r="G9" i="2"/>
  <c r="J12" i="1"/>
  <c r="I12" i="1"/>
  <c r="D15" i="2"/>
  <c r="G10" i="1"/>
  <c r="G12" i="1" s="1"/>
  <c r="I1" i="7"/>
  <c r="H4" i="7"/>
  <c r="H5" i="7" s="1"/>
  <c r="F11" i="1" l="1"/>
  <c r="F12" i="1" s="1"/>
  <c r="G15" i="2"/>
  <c r="J1" i="7"/>
  <c r="I4" i="7"/>
  <c r="I5" i="7" s="1"/>
  <c r="K1" i="7" l="1"/>
  <c r="J4" i="7"/>
  <c r="J5" i="7" s="1"/>
  <c r="L1" i="7" l="1"/>
  <c r="K4" i="7"/>
  <c r="K5" i="7" s="1"/>
  <c r="M1" i="7" l="1"/>
  <c r="L4" i="7"/>
  <c r="L5" i="7" s="1"/>
  <c r="N1" i="7" l="1"/>
  <c r="M4" i="7"/>
  <c r="M5" i="7" s="1"/>
  <c r="O1" i="7" l="1"/>
  <c r="N4" i="7"/>
  <c r="N5" i="7" s="1"/>
  <c r="O4" i="7" l="1"/>
  <c r="O5" i="7" s="1"/>
</calcChain>
</file>

<file path=xl/sharedStrings.xml><?xml version="1.0" encoding="utf-8"?>
<sst xmlns="http://schemas.openxmlformats.org/spreadsheetml/2006/main" count="517" uniqueCount="159">
  <si>
    <t>No</t>
  </si>
  <si>
    <t>조현민</t>
  </si>
  <si>
    <t>권한해</t>
  </si>
  <si>
    <t>김성환</t>
  </si>
  <si>
    <t>김진호</t>
  </si>
  <si>
    <t>류성준</t>
  </si>
  <si>
    <t>박상용</t>
  </si>
  <si>
    <t>박세환</t>
  </si>
  <si>
    <t>박승현</t>
  </si>
  <si>
    <t>서정권</t>
  </si>
  <si>
    <t>옥지엽</t>
  </si>
  <si>
    <t>최정훈</t>
  </si>
  <si>
    <t>최종하</t>
  </si>
  <si>
    <t>강명신</t>
  </si>
  <si>
    <t>이대로</t>
  </si>
  <si>
    <t>권기표</t>
  </si>
  <si>
    <t>문인욱</t>
  </si>
  <si>
    <t>박준하</t>
  </si>
  <si>
    <t>황인호</t>
  </si>
  <si>
    <t>김서래</t>
  </si>
  <si>
    <t>백근호</t>
  </si>
  <si>
    <t>윤준원</t>
  </si>
  <si>
    <t>김민기</t>
  </si>
  <si>
    <t>탈퇴멤버</t>
  </si>
  <si>
    <t>계</t>
  </si>
  <si>
    <t>유지</t>
  </si>
  <si>
    <t>탈퇴</t>
  </si>
  <si>
    <t>누적입금액</t>
  </si>
  <si>
    <t>24년 6월</t>
  </si>
  <si>
    <t>24년 7월</t>
  </si>
  <si>
    <t>24년 8월</t>
  </si>
  <si>
    <t>24년 9월</t>
  </si>
  <si>
    <t>24년 10월</t>
  </si>
  <si>
    <t>24년 11월</t>
  </si>
  <si>
    <t>24년 12월</t>
  </si>
  <si>
    <t>25년 1월</t>
  </si>
  <si>
    <t>25년 2월</t>
  </si>
  <si>
    <t>25년 3월</t>
  </si>
  <si>
    <t>25년 4월</t>
  </si>
  <si>
    <t>25년 5월</t>
  </si>
  <si>
    <t>25년 6월</t>
  </si>
  <si>
    <t>25년 7월</t>
  </si>
  <si>
    <t>25년 8월</t>
  </si>
  <si>
    <t>25년 9월</t>
  </si>
  <si>
    <t>25년 10월</t>
  </si>
  <si>
    <t>25년 11월</t>
  </si>
  <si>
    <t>25년 12월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</si>
  <si>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</si>
  <si>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</si>
  <si>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</si>
  <si>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</si>
  <si>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</si>
  <si>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</si>
  <si>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</si>
  <si>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</si>
  <si>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</si>
  <si>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26년 10월</t>
  </si>
  <si>
    <t>26년 11월</t>
  </si>
  <si>
    <t>26년 12월</t>
  </si>
  <si>
    <t>주요 정보</t>
  </si>
  <si>
    <t>누적</t>
  </si>
  <si>
    <t>입금액</t>
  </si>
  <si>
    <t>출금액</t>
  </si>
  <si>
    <t>입금액 - 출금액</t>
  </si>
  <si>
    <t>구분</t>
  </si>
  <si>
    <t>전월</t>
  </si>
  <si>
    <t>당월</t>
  </si>
  <si>
    <t xml:space="preserve"> 입금</t>
  </si>
  <si>
    <t>회비</t>
  </si>
  <si>
    <t>지각비</t>
  </si>
  <si>
    <t>이자</t>
  </si>
  <si>
    <t xml:space="preserve"> 출금</t>
  </si>
  <si>
    <t>모임비</t>
  </si>
  <si>
    <t>강연비</t>
  </si>
  <si>
    <t>경조사비</t>
  </si>
  <si>
    <t>경품비</t>
  </si>
  <si>
    <t xml:space="preserve"> 입금 - 출금</t>
  </si>
  <si>
    <t>연월</t>
  </si>
  <si>
    <t>요일</t>
  </si>
  <si>
    <t>일자</t>
  </si>
  <si>
    <t>분류1</t>
  </si>
  <si>
    <t>분류2</t>
  </si>
  <si>
    <t>차변</t>
  </si>
  <si>
    <t>대변</t>
  </si>
  <si>
    <t>대변-차변</t>
  </si>
  <si>
    <t>비고</t>
  </si>
  <si>
    <t>수식</t>
  </si>
  <si>
    <t>입력</t>
  </si>
  <si>
    <t>입금</t>
  </si>
  <si>
    <t>월간회비납부</t>
  </si>
  <si>
    <t>출금</t>
  </si>
  <si>
    <t>김진호, 모드라운지 언주역점</t>
  </si>
  <si>
    <t>옥지엽, 더브루클린로프트</t>
  </si>
  <si>
    <t>박상용, 골프파티룸 지그로테</t>
  </si>
  <si>
    <t>그랜드 하얏트 서울 풀사이드 바비큐</t>
  </si>
  <si>
    <t>옥지엽, 축의금</t>
  </si>
  <si>
    <t>박승현, 포레스트 청담</t>
  </si>
  <si>
    <t>송미숙, 성환이 화환</t>
  </si>
  <si>
    <t>조현민, 언디파인 논현점</t>
  </si>
  <si>
    <t>박상용, 축의금</t>
  </si>
  <si>
    <t>연간이자_잔액맞추기용</t>
  </si>
  <si>
    <t>조현민, 후라토식당 신사점</t>
  </si>
  <si>
    <t>박세환, 강남파티룸 아크로셰</t>
  </si>
  <si>
    <t>최종하, 생일</t>
  </si>
  <si>
    <t>월간이자_잔액맞추기용</t>
  </si>
  <si>
    <t>조현민, 물고기자리논현점</t>
  </si>
  <si>
    <t>조현민, 도미노피자</t>
  </si>
  <si>
    <t xml:space="preserve">조현민, </t>
  </si>
  <si>
    <t>박상용, 생일</t>
  </si>
  <si>
    <t>골프공 맞추기</t>
  </si>
  <si>
    <t>최정훈, 장소예약</t>
  </si>
  <si>
    <t>조현민, 장보기</t>
  </si>
  <si>
    <t>최종하, 몽중헌 청담</t>
  </si>
  <si>
    <t>김민기, 업무축하</t>
  </si>
  <si>
    <t>김성환, 업무축하</t>
  </si>
  <si>
    <t>박세환, 업무축하</t>
  </si>
  <si>
    <t>권한해, 영동장어</t>
  </si>
  <si>
    <t>권기표, 모드라운지 남부터미널점</t>
  </si>
  <si>
    <t>옥지엽, 이너트립, AI강의</t>
  </si>
  <si>
    <t>이대로, 커피</t>
  </si>
  <si>
    <t>허준혁, 사진</t>
  </si>
  <si>
    <t>서초바글, 11명</t>
  </si>
  <si>
    <t>박승현, 지각비</t>
  </si>
  <si>
    <t>박준하, 지각비</t>
  </si>
  <si>
    <t>박승현, 희앤썬 AC호텔바</t>
  </si>
  <si>
    <t>옥지엽, 지각비</t>
  </si>
  <si>
    <t>권기표, 지각비</t>
  </si>
  <si>
    <t>최종하, 지각비</t>
  </si>
  <si>
    <t>서정권, 지각비</t>
  </si>
  <si>
    <t>이대로, 지인할인</t>
  </si>
  <si>
    <t>재테크 특강</t>
  </si>
  <si>
    <t>흑우정 강남본점, 박준하</t>
  </si>
  <si>
    <t>사진사 섭외</t>
  </si>
  <si>
    <t>이랜드파크 켄싱</t>
  </si>
  <si>
    <t>강명신 이체_다수 경조사비</t>
  </si>
  <si>
    <t>강명신 이체_</t>
  </si>
  <si>
    <t>조현민 이체</t>
  </si>
  <si>
    <t>류성준, 지각비</t>
  </si>
  <si>
    <t>황인호, 지각비</t>
  </si>
  <si>
    <t>개월수 역산</t>
  </si>
  <si>
    <t>전체평균</t>
  </si>
  <si>
    <t>최근3개월평균</t>
  </si>
  <si>
    <t>최근6개월평균</t>
  </si>
  <si>
    <t>최근12개월평균</t>
  </si>
  <si>
    <t>입금-출금</t>
  </si>
  <si>
    <t>차트용</t>
  </si>
  <si>
    <t>월별Tab Weekday 함수용</t>
  </si>
  <si>
    <t>숫자</t>
  </si>
  <si>
    <t>월</t>
  </si>
  <si>
    <t>화</t>
  </si>
  <si>
    <t>수</t>
  </si>
  <si>
    <t>목</t>
  </si>
  <si>
    <t>금</t>
  </si>
  <si>
    <t>토</t>
  </si>
  <si>
    <t>일</t>
  </si>
  <si>
    <t>5월 5일 잔액</t>
    <phoneticPr fontId="1" type="noConversion"/>
  </si>
  <si>
    <t>김성환, 음식배달</t>
    <phoneticPr fontId="1" type="noConversion"/>
  </si>
  <si>
    <t>김성환, 모드파티</t>
    <phoneticPr fontId="1" type="noConversion"/>
  </si>
  <si>
    <t>한해 개업 화환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</si>
</sst>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;[Red]\(#,##0\);&quot;-&quot;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나눔바른고딕"/>
      <family val="3"/>
      <charset val="129"/>
    </font>
    <font>
      <sz val="11"/>
      <color theme="1"/>
      <name val="맑은 고딕"/>
      <family val="2"/>
      <charset val="129"/>
    </font>
    <font>
      <sz val="12"/>
      <color theme="1"/>
      <name val="맑은 고딕"/>
      <family val="2"/>
      <charset val="129"/>
      <scheme val="minor"/>
    </font>
    <font>
      <sz val="12"/>
      <color theme="1"/>
      <name val="나눔바른고딕"/>
      <family val="3"/>
      <charset val="129"/>
    </font>
    <font>
      <sz val="14"/>
      <color theme="1"/>
      <name val="나눔바른고딕"/>
      <family val="3"/>
      <charset val="129"/>
    </font>
    <font>
      <sz val="13"/>
      <color theme="1"/>
      <name val="나눔바른고딕"/>
      <family val="3"/>
      <charset val="129"/>
    </font>
    <font>
      <b/>
      <sz val="10"/>
      <color theme="1"/>
      <name val="나눔바른고딕"/>
      <family val="3"/>
      <charset val="129"/>
    </font>
    <font>
      <b/>
      <sz val="11"/>
      <color rgb="FF0000FF"/>
      <name val="나눔바른고딕"/>
      <family val="3"/>
      <charset val="129"/>
    </font>
    <font>
      <b/>
      <sz val="11"/>
      <color theme="1"/>
      <name val="나눔바른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5117038483843"/>
        <bgColor indexed="65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02">
    <xf numFmtId="0" fontId="0" fillId="0" borderId="0" xfId="0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3" borderId="2" xfId="0" applyFill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176" fontId="2" fillId="4" borderId="2" xfId="0" applyNumberFormat="1" applyFont="1" applyFill="1" applyBorder="1">
      <alignment vertical="center"/>
    </xf>
    <xf numFmtId="176" fontId="0" fillId="0" borderId="0" xfId="0" applyNumberFormat="1">
      <alignment vertical="center"/>
    </xf>
    <xf numFmtId="0" fontId="2" fillId="2" borderId="4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Continuous" vertical="center"/>
    </xf>
    <xf numFmtId="14" fontId="2" fillId="6" borderId="2" xfId="1" applyNumberFormat="1" applyFont="1" applyFill="1" applyBorder="1" applyAlignment="1">
      <alignment horizontal="center" vertical="center"/>
    </xf>
    <xf numFmtId="176" fontId="2" fillId="6" borderId="2" xfId="1" applyNumberFormat="1" applyFont="1" applyFill="1" applyBorder="1" applyAlignment="1">
      <alignment horizontal="right" vertical="center"/>
    </xf>
    <xf numFmtId="14" fontId="2" fillId="6" borderId="2" xfId="1" applyNumberFormat="1" applyFont="1" applyFill="1" applyBorder="1" applyAlignment="1">
      <alignment horizontal="left" vertical="center"/>
    </xf>
    <xf numFmtId="176" fontId="2" fillId="4" borderId="2" xfId="1" applyNumberFormat="1" applyFont="1" applyFill="1" applyBorder="1" applyAlignment="1">
      <alignment horizontal="right" vertical="center"/>
    </xf>
    <xf numFmtId="0" fontId="4" fillId="0" borderId="0" xfId="0" applyFont="1">
      <alignment vertical="center"/>
    </xf>
    <xf numFmtId="0" fontId="5" fillId="6" borderId="0" xfId="0" applyFont="1" applyFill="1" applyAlignment="1">
      <alignment horizontal="center" vertical="center"/>
    </xf>
    <xf numFmtId="176" fontId="5" fillId="0" borderId="2" xfId="0" applyNumberFormat="1" applyFont="1" applyBorder="1" applyAlignment="1">
      <alignment horizontal="right" vertical="center" wrapText="1"/>
    </xf>
    <xf numFmtId="176" fontId="5" fillId="0" borderId="2" xfId="0" applyNumberFormat="1" applyFont="1" applyBorder="1">
      <alignment vertical="center"/>
    </xf>
    <xf numFmtId="0" fontId="5" fillId="0" borderId="2" xfId="0" applyFont="1" applyBorder="1">
      <alignment vertical="center"/>
    </xf>
    <xf numFmtId="176" fontId="5" fillId="0" borderId="0" xfId="0" applyNumberFormat="1" applyFont="1" applyAlignment="1">
      <alignment horizontal="center" vertical="center"/>
    </xf>
    <xf numFmtId="176" fontId="5" fillId="0" borderId="0" xfId="0" applyNumberFormat="1" applyFont="1">
      <alignment vertical="center"/>
    </xf>
    <xf numFmtId="176" fontId="2" fillId="6" borderId="2" xfId="0" applyNumberFormat="1" applyFont="1" applyFill="1" applyBorder="1">
      <alignment vertical="center"/>
    </xf>
    <xf numFmtId="0" fontId="0" fillId="6" borderId="2" xfId="0" applyFill="1" applyBorder="1">
      <alignment vertical="center"/>
    </xf>
    <xf numFmtId="0" fontId="5" fillId="4" borderId="5" xfId="0" applyFont="1" applyFill="1" applyBorder="1">
      <alignment vertical="center"/>
    </xf>
    <xf numFmtId="176" fontId="5" fillId="0" borderId="6" xfId="0" applyNumberFormat="1" applyFont="1" applyBorder="1" applyAlignment="1">
      <alignment horizontal="right" vertical="center" wrapText="1"/>
    </xf>
    <xf numFmtId="176" fontId="5" fillId="0" borderId="5" xfId="0" applyNumberFormat="1" applyFont="1" applyBorder="1" applyAlignment="1">
      <alignment horizontal="right" vertical="center" wrapText="1"/>
    </xf>
    <xf numFmtId="176" fontId="5" fillId="0" borderId="7" xfId="0" applyNumberFormat="1" applyFont="1" applyBorder="1">
      <alignment vertical="center"/>
    </xf>
    <xf numFmtId="176" fontId="5" fillId="4" borderId="5" xfId="0" applyNumberFormat="1" applyFont="1" applyFill="1" applyBorder="1">
      <alignment vertical="center"/>
    </xf>
    <xf numFmtId="0" fontId="6" fillId="7" borderId="5" xfId="0" applyFont="1" applyFill="1" applyBorder="1" applyAlignment="1">
      <alignment horizontal="centerContinuous" vertical="center"/>
    </xf>
    <xf numFmtId="0" fontId="6" fillId="7" borderId="2" xfId="0" applyFont="1" applyFill="1" applyBorder="1" applyAlignment="1">
      <alignment horizontal="centerContinuous" vertical="center"/>
    </xf>
    <xf numFmtId="0" fontId="6" fillId="7" borderId="6" xfId="0" applyFont="1" applyFill="1" applyBorder="1" applyAlignment="1">
      <alignment horizontal="centerContinuous" vertical="center"/>
    </xf>
    <xf numFmtId="176" fontId="7" fillId="4" borderId="7" xfId="0" applyNumberFormat="1" applyFont="1" applyFill="1" applyBorder="1">
      <alignment vertical="center"/>
    </xf>
    <xf numFmtId="176" fontId="7" fillId="4" borderId="6" xfId="0" applyNumberFormat="1" applyFont="1" applyFill="1" applyBorder="1">
      <alignment vertical="center"/>
    </xf>
    <xf numFmtId="176" fontId="7" fillId="4" borderId="2" xfId="0" applyNumberFormat="1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2" xfId="0" applyFont="1" applyFill="1" applyBorder="1">
      <alignment vertical="center"/>
    </xf>
    <xf numFmtId="176" fontId="7" fillId="4" borderId="8" xfId="0" applyNumberFormat="1" applyFont="1" applyFill="1" applyBorder="1">
      <alignment vertical="center"/>
    </xf>
    <xf numFmtId="176" fontId="5" fillId="0" borderId="8" xfId="0" applyNumberFormat="1" applyFont="1" applyBorder="1">
      <alignment vertical="center"/>
    </xf>
    <xf numFmtId="176" fontId="5" fillId="0" borderId="9" xfId="0" applyNumberFormat="1" applyFont="1" applyBorder="1" applyAlignment="1">
      <alignment horizontal="right" vertical="center" wrapText="1"/>
    </xf>
    <xf numFmtId="0" fontId="5" fillId="0" borderId="6" xfId="0" applyFont="1" applyBorder="1">
      <alignment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6" xfId="0" applyFont="1" applyFill="1" applyBorder="1">
      <alignment vertical="center"/>
    </xf>
    <xf numFmtId="176" fontId="5" fillId="0" borderId="9" xfId="0" applyNumberFormat="1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centerContinuous" vertical="center"/>
    </xf>
    <xf numFmtId="0" fontId="6" fillId="0" borderId="8" xfId="0" applyFont="1" applyBorder="1">
      <alignment vertical="center"/>
    </xf>
    <xf numFmtId="0" fontId="6" fillId="0" borderId="5" xfId="0" applyFont="1" applyBorder="1" applyAlignment="1">
      <alignment horizontal="centerContinuous" vertical="center"/>
    </xf>
    <xf numFmtId="0" fontId="6" fillId="0" borderId="7" xfId="0" applyFont="1" applyBorder="1" applyAlignment="1">
      <alignment horizontal="centerContinuous" vertical="center"/>
    </xf>
    <xf numFmtId="0" fontId="6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Continuous" vertical="center"/>
    </xf>
    <xf numFmtId="0" fontId="2" fillId="0" borderId="0" xfId="0" applyFont="1">
      <alignment vertical="center"/>
    </xf>
    <xf numFmtId="0" fontId="2" fillId="2" borderId="10" xfId="1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4" borderId="10" xfId="1" applyFont="1" applyFill="1" applyBorder="1" applyAlignment="1">
      <alignment horizontal="center" vertical="center"/>
    </xf>
    <xf numFmtId="176" fontId="2" fillId="0" borderId="2" xfId="0" applyNumberFormat="1" applyFont="1" applyBorder="1">
      <alignment vertical="center"/>
    </xf>
    <xf numFmtId="0" fontId="2" fillId="2" borderId="2" xfId="1" applyFont="1" applyFill="1" applyBorder="1" applyAlignment="1">
      <alignment horizontal="centerContinuous" vertical="center"/>
    </xf>
    <xf numFmtId="0" fontId="2" fillId="2" borderId="10" xfId="1" applyFont="1" applyFill="1" applyBorder="1" applyAlignment="1">
      <alignment horizontal="centerContinuous" vertical="center"/>
    </xf>
    <xf numFmtId="176" fontId="2" fillId="0" borderId="6" xfId="0" applyNumberFormat="1" applyFont="1" applyBorder="1">
      <alignment vertical="center"/>
    </xf>
    <xf numFmtId="0" fontId="2" fillId="4" borderId="11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0" fillId="4" borderId="0" xfId="0" applyFill="1" applyAlignment="1">
      <alignment horizontal="center" vertical="center"/>
    </xf>
    <xf numFmtId="14" fontId="0" fillId="4" borderId="0" xfId="0" applyNumberFormat="1" applyFill="1">
      <alignment vertical="center"/>
    </xf>
    <xf numFmtId="0" fontId="0" fillId="9" borderId="2" xfId="0" applyFill="1" applyBorder="1">
      <alignment vertical="center"/>
    </xf>
    <xf numFmtId="176" fontId="8" fillId="0" borderId="2" xfId="0" applyNumberFormat="1" applyFont="1" applyBorder="1">
      <alignment vertical="center"/>
    </xf>
    <xf numFmtId="0" fontId="9" fillId="8" borderId="2" xfId="0" applyFont="1" applyFill="1" applyBorder="1">
      <alignment vertical="center"/>
    </xf>
    <xf numFmtId="176" fontId="9" fillId="8" borderId="2" xfId="0" applyNumberFormat="1" applyFont="1" applyFill="1" applyBorder="1">
      <alignment vertical="center"/>
    </xf>
    <xf numFmtId="176" fontId="10" fillId="8" borderId="2" xfId="0" applyNumberFormat="1" applyFont="1" applyFill="1" applyBorder="1">
      <alignment vertical="center"/>
    </xf>
    <xf numFmtId="176" fontId="2" fillId="0" borderId="7" xfId="0" applyNumberFormat="1" applyFont="1" applyBorder="1">
      <alignment vertical="center"/>
    </xf>
    <xf numFmtId="176" fontId="2" fillId="0" borderId="3" xfId="0" applyNumberFormat="1" applyFont="1" applyBorder="1">
      <alignment vertical="center"/>
    </xf>
    <xf numFmtId="176" fontId="2" fillId="0" borderId="10" xfId="0" applyNumberFormat="1" applyFont="1" applyBorder="1">
      <alignment vertical="center"/>
    </xf>
    <xf numFmtId="0" fontId="2" fillId="2" borderId="5" xfId="0" applyFont="1" applyFill="1" applyBorder="1" applyAlignment="1">
      <alignment horizontal="center" vertical="center"/>
    </xf>
    <xf numFmtId="0" fontId="2" fillId="0" borderId="13" xfId="0" applyFont="1" applyBorder="1">
      <alignment vertical="center"/>
    </xf>
    <xf numFmtId="0" fontId="2" fillId="0" borderId="11" xfId="0" applyFont="1" applyBorder="1">
      <alignment vertical="center"/>
    </xf>
    <xf numFmtId="0" fontId="2" fillId="0" borderId="5" xfId="0" applyFont="1" applyBorder="1">
      <alignment vertical="center"/>
    </xf>
    <xf numFmtId="0" fontId="2" fillId="2" borderId="6" xfId="0" applyFont="1" applyFill="1" applyBorder="1" applyAlignment="1">
      <alignment horizontal="center" vertical="center"/>
    </xf>
    <xf numFmtId="176" fontId="2" fillId="0" borderId="8" xfId="0" applyNumberFormat="1" applyFont="1" applyBorder="1">
      <alignment vertical="center"/>
    </xf>
    <xf numFmtId="176" fontId="2" fillId="0" borderId="12" xfId="0" applyNumberFormat="1" applyFont="1" applyBorder="1">
      <alignment vertical="center"/>
    </xf>
    <xf numFmtId="0" fontId="0" fillId="0" borderId="11" xfId="0" applyBorder="1">
      <alignment vertical="center"/>
    </xf>
    <xf numFmtId="0" fontId="0" fillId="0" borderId="18" xfId="0" applyBorder="1">
      <alignment vertical="center"/>
    </xf>
    <xf numFmtId="0" fontId="2" fillId="0" borderId="18" xfId="0" applyFont="1" applyBorder="1">
      <alignment vertical="center"/>
    </xf>
    <xf numFmtId="0" fontId="0" fillId="0" borderId="12" xfId="0" applyBorder="1">
      <alignment vertical="center"/>
    </xf>
    <xf numFmtId="0" fontId="0" fillId="0" borderId="1" xfId="0" applyBorder="1">
      <alignment vertical="center"/>
    </xf>
    <xf numFmtId="0" fontId="0" fillId="0" borderId="9" xfId="0" applyBorder="1">
      <alignment vertical="center"/>
    </xf>
    <xf numFmtId="0" fontId="0" fillId="0" borderId="13" xfId="0" applyBorder="1">
      <alignment vertical="center"/>
    </xf>
    <xf numFmtId="0" fontId="0" fillId="0" borderId="19" xfId="0" applyBorder="1">
      <alignment vertical="center"/>
    </xf>
    <xf numFmtId="0" fontId="2" fillId="0" borderId="19" xfId="0" applyFont="1" applyBorder="1">
      <alignment vertical="center"/>
    </xf>
    <xf numFmtId="0" fontId="0" fillId="0" borderId="8" xfId="0" applyBorder="1">
      <alignment vertical="center"/>
    </xf>
    <xf numFmtId="0" fontId="9" fillId="2" borderId="14" xfId="0" applyFont="1" applyFill="1" applyBorder="1" applyAlignment="1">
      <alignment horizontal="center" vertical="center"/>
    </xf>
    <xf numFmtId="176" fontId="9" fillId="0" borderId="15" xfId="0" applyNumberFormat="1" applyFont="1" applyBorder="1">
      <alignment vertical="center"/>
    </xf>
    <xf numFmtId="176" fontId="9" fillId="0" borderId="16" xfId="0" applyNumberFormat="1" applyFont="1" applyBorder="1">
      <alignment vertical="center"/>
    </xf>
    <xf numFmtId="176" fontId="9" fillId="0" borderId="17" xfId="0" applyNumberFormat="1" applyFont="1" applyBorder="1">
      <alignment vertical="center"/>
    </xf>
    <xf numFmtId="176" fontId="2" fillId="6" borderId="2" xfId="0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10" borderId="2" xfId="0" applyFill="1" applyBorder="1">
      <alignment vertical="center"/>
    </xf>
    <xf numFmtId="176" fontId="2" fillId="9" borderId="2" xfId="0" applyNumberFormat="1" applyFont="1" applyFill="1" applyBorder="1">
      <alignment vertical="center"/>
    </xf>
  </cellXfs>
  <cellStyles count="2">
    <cellStyle name="표준" xfId="0" builtinId="0"/>
    <cellStyle name="표준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증감분석!$Q$10</c:f>
              <c:strCache>
                <c:ptCount val="1"/>
                <c:pt idx="0">
                  <c:v>입금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증감분석!$Q$11:$Q$32</c:f>
              <c:numCache>
                <c:formatCode>#,##0;[Red]\(#,##0\);"-"</c:formatCode>
                <c:ptCount val="22"/>
                <c:pt idx="0">
                  <c:v>1100000</c:v>
                </c:pt>
                <c:pt idx="1">
                  <c:v>1300000</c:v>
                </c:pt>
                <c:pt idx="2">
                  <c:v>1400000</c:v>
                </c:pt>
                <c:pt idx="3">
                  <c:v>1300000</c:v>
                </c:pt>
                <c:pt idx="4">
                  <c:v>1300000</c:v>
                </c:pt>
                <c:pt idx="5">
                  <c:v>1300000</c:v>
                </c:pt>
                <c:pt idx="6">
                  <c:v>1601438</c:v>
                </c:pt>
                <c:pt idx="7">
                  <c:v>1700166</c:v>
                </c:pt>
                <c:pt idx="8">
                  <c:v>1700266</c:v>
                </c:pt>
                <c:pt idx="9">
                  <c:v>1700253</c:v>
                </c:pt>
                <c:pt idx="10">
                  <c:v>1700000</c:v>
                </c:pt>
                <c:pt idx="11">
                  <c:v>1700944</c:v>
                </c:pt>
                <c:pt idx="12">
                  <c:v>1700426</c:v>
                </c:pt>
                <c:pt idx="13">
                  <c:v>1830671</c:v>
                </c:pt>
                <c:pt idx="14">
                  <c:v>1840737</c:v>
                </c:pt>
                <c:pt idx="15">
                  <c:v>1800436</c:v>
                </c:pt>
                <c:pt idx="16">
                  <c:v>1800332</c:v>
                </c:pt>
                <c:pt idx="17">
                  <c:v>1800736</c:v>
                </c:pt>
                <c:pt idx="18">
                  <c:v>1903179</c:v>
                </c:pt>
                <c:pt idx="19">
                  <c:v>1850166</c:v>
                </c:pt>
                <c:pt idx="20">
                  <c:v>1900000</c:v>
                </c:pt>
                <c:pt idx="21">
                  <c:v>2050568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8-44BA-97F0-9BE1AE13EA8B}"/>
            </c:ext>
          </c:extLst>
        </c:ser>
        <c:ser>
          <c:idx val="1"/>
          <c:order val="1"/>
          <c:tx>
            <c:strRef>
              <c:f>증감분석!$R$10</c:f>
              <c:strCache>
                <c:ptCount val="1"/>
                <c:pt idx="0">
                  <c:v>출금</c:v>
                </c:pt>
              </c:strCache>
            </c:strRef>
          </c:tx>
          <c:spPr>
            <a:ln w="381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증감분석!$R$11:$R$32</c:f>
              <c:numCache>
                <c:formatCode>#,##0;[Red]\(#,##0\);"-"</c:formatCode>
                <c:ptCount val="22"/>
                <c:pt idx="0">
                  <c:v>677400</c:v>
                </c:pt>
                <c:pt idx="1">
                  <c:v>547800</c:v>
                </c:pt>
                <c:pt idx="2">
                  <c:v>411200</c:v>
                </c:pt>
                <c:pt idx="3">
                  <c:v>2053800</c:v>
                </c:pt>
                <c:pt idx="4">
                  <c:v>1573000</c:v>
                </c:pt>
                <c:pt idx="5">
                  <c:v>657910</c:v>
                </c:pt>
                <c:pt idx="6">
                  <c:v>2627000</c:v>
                </c:pt>
                <c:pt idx="7">
                  <c:v>1267300</c:v>
                </c:pt>
                <c:pt idx="8">
                  <c:v>420800</c:v>
                </c:pt>
                <c:pt idx="9">
                  <c:v>1086770</c:v>
                </c:pt>
                <c:pt idx="10">
                  <c:v>1276000</c:v>
                </c:pt>
                <c:pt idx="11">
                  <c:v>1653500</c:v>
                </c:pt>
                <c:pt idx="12">
                  <c:v>1703400</c:v>
                </c:pt>
                <c:pt idx="13">
                  <c:v>718000</c:v>
                </c:pt>
                <c:pt idx="14">
                  <c:v>3016350</c:v>
                </c:pt>
                <c:pt idx="15">
                  <c:v>2131570</c:v>
                </c:pt>
                <c:pt idx="16">
                  <c:v>848000</c:v>
                </c:pt>
                <c:pt idx="17">
                  <c:v>1644400</c:v>
                </c:pt>
                <c:pt idx="18">
                  <c:v>5169100</c:v>
                </c:pt>
                <c:pt idx="19">
                  <c:v>850000</c:v>
                </c:pt>
                <c:pt idx="20">
                  <c:v>1307100</c:v>
                </c:pt>
                <c:pt idx="21">
                  <c:v>630000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68-44BA-97F0-9BE1AE13EA8B}"/>
            </c:ext>
          </c:extLst>
        </c:ser>
        <c:ser>
          <c:idx val="2"/>
          <c:order val="2"/>
          <c:tx>
            <c:strRef>
              <c:f>증감분석!$S$10</c:f>
              <c:strCache>
                <c:ptCount val="1"/>
                <c:pt idx="0">
                  <c:v>누적</c:v>
                </c:pt>
              </c:strCache>
            </c:strRef>
          </c:tx>
          <c:spPr>
            <a:ln w="3810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증감분석!$S$11:$S$32</c:f>
              <c:numCache>
                <c:formatCode>#,##0;[Red]\(#,##0\);"-"</c:formatCode>
                <c:ptCount val="22"/>
                <c:pt idx="0">
                  <c:v>422600</c:v>
                </c:pt>
                <c:pt idx="1">
                  <c:v>1174800</c:v>
                </c:pt>
                <c:pt idx="2">
                  <c:v>2163600</c:v>
                </c:pt>
                <c:pt idx="3">
                  <c:v>1409800</c:v>
                </c:pt>
                <c:pt idx="4">
                  <c:v>1136800</c:v>
                </c:pt>
                <c:pt idx="5">
                  <c:v>1778890</c:v>
                </c:pt>
                <c:pt idx="6">
                  <c:v>753328</c:v>
                </c:pt>
                <c:pt idx="7">
                  <c:v>1186194</c:v>
                </c:pt>
                <c:pt idx="8">
                  <c:v>2465660</c:v>
                </c:pt>
                <c:pt idx="9">
                  <c:v>3079143</c:v>
                </c:pt>
                <c:pt idx="10">
                  <c:v>3503143</c:v>
                </c:pt>
                <c:pt idx="11">
                  <c:v>3550587</c:v>
                </c:pt>
                <c:pt idx="12">
                  <c:v>3547613</c:v>
                </c:pt>
                <c:pt idx="13">
                  <c:v>4660284</c:v>
                </c:pt>
                <c:pt idx="14">
                  <c:v>3484671</c:v>
                </c:pt>
                <c:pt idx="15">
                  <c:v>3153537</c:v>
                </c:pt>
                <c:pt idx="16">
                  <c:v>4105869</c:v>
                </c:pt>
                <c:pt idx="17">
                  <c:v>4262205</c:v>
                </c:pt>
                <c:pt idx="18">
                  <c:v>996284</c:v>
                </c:pt>
                <c:pt idx="19">
                  <c:v>1996450</c:v>
                </c:pt>
                <c:pt idx="20">
                  <c:v>2589350</c:v>
                </c:pt>
                <c:pt idx="21">
                  <c:v>4009918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68-44BA-97F0-9BE1AE13E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9323040"/>
        <c:axId val="1949323520"/>
      </c:lineChart>
      <c:catAx>
        <c:axId val="1949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323520"/>
        <c:crosses val="autoZero"/>
        <c:auto val="1"/>
        <c:lblAlgn val="ctr"/>
        <c:lblOffset val="100"/>
        <c:noMultiLvlLbl val="0"/>
      </c:catAx>
      <c:valAx>
        <c:axId val="194932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numFmt formatCode="#,##0;[Red]\(#,##0\);&quot;-&quot;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323040"/>
        <c:crosses val="autoZero"/>
        <c:crossBetween val="between"/>
        <c:majorUnit val="500000"/>
        <c:minorUnit val="250000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654424</xdr:colOff>
      <xdr:row>26</xdr:row>
      <xdr:rowOff>80682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"/>
  <sheetViews>
    <sheetView tabSelected="1" view="pageBreakPreview" zoomScale="115" zoomScaleNormal="85" zoomScaleSheetLayoutView="115" workbookViewId="0">
      <selection activeCell="O5" sqref="O4:O5"/>
    </sheetView>
  </sheetViews>
  <sheetFormatPr defaultRowHeight="22.5" customHeight="1" x14ac:dyDescent="0.3"/>
  <cols>
    <col min="1" max="1" width="16.25" style="99" customWidth="1"/>
    <col min="2" max="2" width="0.5" style="99" customWidth="1"/>
    <col min="3" max="3" width="13.875" style="99" customWidth="1"/>
    <col min="4" max="4" width="14.75" style="99" customWidth="1"/>
    <col min="5" max="5" width="0.5" style="99" customWidth="1"/>
    <col min="6" max="6" width="13.375" style="99" customWidth="1"/>
    <col min="7" max="7" width="15" style="99" customWidth="1"/>
    <col min="8" max="8" width="0.5" style="99" customWidth="1"/>
    <col min="9" max="9" width="13.375" style="99" customWidth="1"/>
    <col min="10" max="10" width="16.25" style="99" customWidth="1"/>
  </cols>
  <sheetData>
    <row r="1" spans="1:10" ht="22.5" customHeight="1" x14ac:dyDescent="0.3">
      <c r="A1" s="18"/>
      <c r="B1" s="18"/>
      <c r="C1" s="19" t="str">
        <f ca="1">참고!$E$5</f>
        <v>26년 3월</v>
      </c>
      <c r="D1" s="18"/>
      <c r="E1" s="18"/>
      <c r="F1" s="19" t="str">
        <f ca="1">참고!$D$5</f>
        <v>26년 4월</v>
      </c>
      <c r="G1" s="18"/>
      <c r="H1" s="18"/>
      <c r="I1" s="18"/>
      <c r="J1" s="18"/>
    </row>
    <row r="2" spans="1:10" ht="52.15" customHeight="1" x14ac:dyDescent="0.3">
      <c r="A2" s="33" t="s">
        <v>64</v>
      </c>
      <c r="B2" s="45"/>
      <c r="C2" s="32" t="s">
        <v>65</v>
      </c>
      <c r="D2" s="33"/>
      <c r="E2" s="44"/>
      <c r="F2" s="34" t="s">
        <v>66</v>
      </c>
      <c r="G2" s="33"/>
      <c r="H2" s="44"/>
      <c r="I2" s="33" t="s">
        <v>60</v>
      </c>
      <c r="J2" s="33"/>
    </row>
    <row r="3" spans="1:10" ht="3" customHeight="1" x14ac:dyDescent="0.3">
      <c r="A3" s="48"/>
      <c r="B3" s="49"/>
      <c r="C3" s="50"/>
      <c r="D3" s="51"/>
      <c r="E3" s="52"/>
      <c r="F3" s="53"/>
      <c r="G3" s="48"/>
      <c r="H3" s="52"/>
      <c r="I3" s="48"/>
      <c r="J3" s="48"/>
    </row>
    <row r="4" spans="1:10" ht="40.15" customHeight="1" x14ac:dyDescent="0.3">
      <c r="A4" s="39" t="s">
        <v>67</v>
      </c>
      <c r="B4" s="40"/>
      <c r="C4" s="31"/>
      <c r="D4" s="35">
        <f ca="1">SUM(C5:C7)</f>
        <v>2050568</v>
      </c>
      <c r="E4" s="40"/>
      <c r="F4" s="36"/>
      <c r="G4" s="37">
        <f ca="1">SUM(F5:F7)</f>
        <v>2100380</v>
      </c>
      <c r="H4" s="40"/>
      <c r="I4" s="37"/>
      <c r="J4" s="37">
        <f>SUM(I5:I7)</f>
        <v>40080698</v>
      </c>
    </row>
    <row r="5" spans="1:10" ht="28.15" customHeight="1" x14ac:dyDescent="0.3">
      <c r="A5" s="47" t="s">
        <v>68</v>
      </c>
      <c r="B5" s="41"/>
      <c r="C5" s="29">
        <f ca="1">SUMIFS(원장!$H:$H,원장!$E:$E,회비입출내역!$A5,원장!$A:$A,회비입출내역!$C$1)</f>
        <v>1900000</v>
      </c>
      <c r="D5" s="30"/>
      <c r="E5" s="41"/>
      <c r="F5" s="28">
        <f ca="1">SUMIFS(원장!$H:$H,원장!$E:$E,회비입출내역!$A5,원장!$A:$A,회비입출내역!$F$1)</f>
        <v>2100000</v>
      </c>
      <c r="G5" s="21"/>
      <c r="H5" s="41"/>
      <c r="I5" s="20">
        <f>SUMIFS(원장!$H:$H,원장!$E:$E,회비입출내역!$A5)</f>
        <v>39800000</v>
      </c>
      <c r="J5" s="21"/>
    </row>
    <row r="6" spans="1:10" ht="28.15" customHeight="1" x14ac:dyDescent="0.3">
      <c r="A6" s="47" t="s">
        <v>69</v>
      </c>
      <c r="B6" s="41"/>
      <c r="C6" s="29">
        <f ca="1">SUMIFS(원장!$H:$H,원장!$E:$E,회비입출내역!$A6,원장!$A:$A,회비입출내역!$C$1)</f>
        <v>150000</v>
      </c>
      <c r="D6" s="30"/>
      <c r="E6" s="41"/>
      <c r="F6" s="28">
        <f ca="1">SUMIFS(원장!$H:$H,원장!$E:$E,회비입출내역!$A6,원장!$A:$A,회비입출내역!$F$1)</f>
        <v>0</v>
      </c>
      <c r="G6" s="21"/>
      <c r="H6" s="41"/>
      <c r="I6" s="20">
        <f>SUMIFS(원장!$H:$H,원장!$E:$E,회비입출내역!$A6)</f>
        <v>270000</v>
      </c>
      <c r="J6" s="21"/>
    </row>
    <row r="7" spans="1:10" ht="28.15" customHeight="1" x14ac:dyDescent="0.3">
      <c r="A7" s="47" t="s">
        <v>70</v>
      </c>
      <c r="B7" s="41"/>
      <c r="C7" s="29">
        <f ca="1">SUMIFS(원장!$H:$H,원장!$E:$E,회비입출내역!$A7,원장!$A:$A,회비입출내역!$C$1)</f>
        <v>568</v>
      </c>
      <c r="D7" s="30"/>
      <c r="E7" s="41"/>
      <c r="F7" s="28">
        <f ca="1">SUMIFS(원장!$H:$H,원장!$E:$E,회비입출내역!$A7,원장!$A:$A,회비입출내역!$F$1)</f>
        <v>380</v>
      </c>
      <c r="G7" s="21"/>
      <c r="H7" s="41"/>
      <c r="I7" s="20">
        <f>SUMIFS(원장!$H:$H,원장!$E:$E,회비입출내역!$A7)</f>
        <v>10698</v>
      </c>
      <c r="J7" s="21"/>
    </row>
    <row r="8" spans="1:10" ht="3" customHeight="1" x14ac:dyDescent="0.3">
      <c r="A8" s="48"/>
      <c r="B8" s="49"/>
      <c r="C8" s="50"/>
      <c r="D8" s="51"/>
      <c r="E8" s="52"/>
      <c r="F8" s="53"/>
      <c r="G8" s="48"/>
      <c r="H8" s="52"/>
      <c r="I8" s="48"/>
      <c r="J8" s="48"/>
    </row>
    <row r="9" spans="1:10" ht="40.15" customHeight="1" x14ac:dyDescent="0.3">
      <c r="A9" s="39" t="s">
        <v>71</v>
      </c>
      <c r="B9" s="40"/>
      <c r="C9" s="27"/>
      <c r="D9" s="35">
        <f ca="1">SUM(C10:C15)</f>
        <v>-630000</v>
      </c>
      <c r="E9" s="40"/>
      <c r="F9" s="38"/>
      <c r="G9" s="37">
        <f ca="1">SUM(F10:F15)</f>
        <v>-777550</v>
      </c>
      <c r="H9" s="40"/>
      <c r="I9" s="39"/>
      <c r="J9" s="37">
        <f>SUM(I10:I15)</f>
        <v>-33047950</v>
      </c>
    </row>
    <row r="10" spans="1:10" ht="28.15" customHeight="1" x14ac:dyDescent="0.3">
      <c r="A10" s="47" t="s">
        <v>72</v>
      </c>
      <c r="B10" s="46"/>
      <c r="C10" s="20">
        <f ca="1">SUMIFS(원장!$H:$H,원장!$E:$E,회비입출내역!$A10,원장!$A:$A,회비입출내역!$C$1)</f>
        <v>-630000</v>
      </c>
      <c r="D10" s="20"/>
      <c r="E10" s="42"/>
      <c r="F10" s="28">
        <f ca="1">SUMIFS(원장!$H:$H,원장!$E:$E,회비입출내역!$A10,원장!$A:$A,회비입출내역!$F$1)</f>
        <v>-728550</v>
      </c>
      <c r="G10" s="20"/>
      <c r="H10" s="42"/>
      <c r="I10" s="20">
        <f>SUMIFS(원장!$H:$H,원장!$E:$E,회비입출내역!$A10)</f>
        <v>-23084800</v>
      </c>
      <c r="J10" s="20"/>
    </row>
    <row r="11" spans="1:10" ht="28.15" customHeight="1" x14ac:dyDescent="0.3">
      <c r="A11" s="47" t="s">
        <v>73</v>
      </c>
      <c r="B11" s="46"/>
      <c r="C11" s="20">
        <f ca="1">SUMIFS(원장!$H:$H,원장!$E:$E,회비입출내역!$A11,원장!$A:$A,회비입출내역!$C$1)</f>
        <v>0</v>
      </c>
      <c r="D11" s="20"/>
      <c r="E11" s="42"/>
      <c r="F11" s="28">
        <f ca="1">SUMIFS(원장!$H:$H,원장!$E:$E,회비입출내역!$A11,원장!$A:$A,회비입출내역!$F$1)</f>
        <v>0</v>
      </c>
      <c r="G11" s="20"/>
      <c r="H11" s="42"/>
      <c r="I11" s="20">
        <f>SUMIFS(원장!$H:$H,원장!$E:$E,회비입출내역!$A11)</f>
        <v>-1870000</v>
      </c>
      <c r="J11" s="20"/>
    </row>
    <row r="12" spans="1:10" ht="28.15" customHeight="1" x14ac:dyDescent="0.3">
      <c r="A12" s="47" t="s">
        <v>74</v>
      </c>
      <c r="B12" s="43"/>
      <c r="C12" s="29">
        <f ca="1">SUMIFS(원장!$H:$H,원장!$E:$E,회비입출내역!$A12,원장!$A:$A,회비입출내역!$C$1)</f>
        <v>0</v>
      </c>
      <c r="D12" s="22"/>
      <c r="E12" s="43"/>
      <c r="F12" s="28">
        <f ca="1">SUMIFS(원장!$H:$H,원장!$E:$E,회비입출내역!$A12,원장!$A:$A,회비입출내역!$F$1)</f>
        <v>-49000</v>
      </c>
      <c r="G12" s="22"/>
      <c r="H12" s="43"/>
      <c r="I12" s="20">
        <f>SUMIFS(원장!$H:$H,원장!$E:$E,회비입출내역!$A12)</f>
        <v>-5168500</v>
      </c>
      <c r="J12" s="22"/>
    </row>
    <row r="13" spans="1:10" ht="28.15" customHeight="1" x14ac:dyDescent="0.3">
      <c r="A13" s="47" t="s">
        <v>75</v>
      </c>
      <c r="B13" s="66"/>
      <c r="C13" s="29">
        <f ca="1">SUMIFS(원장!$H:$H,원장!$E:$E,회비입출내역!$A13,원장!$A:$A,회비입출내역!$C$1)</f>
        <v>0</v>
      </c>
      <c r="D13" s="22"/>
      <c r="E13" s="43"/>
      <c r="F13" s="28">
        <f ca="1">SUMIFS(원장!$H:$H,원장!$E:$E,회비입출내역!$A13,원장!$A:$A,회비입출내역!$F$1)</f>
        <v>0</v>
      </c>
      <c r="G13" s="22"/>
      <c r="H13" s="43"/>
      <c r="I13" s="20">
        <f>SUMIFS(원장!$H:$H,원장!$E:$E,회비입출내역!$A13)</f>
        <v>-2924650</v>
      </c>
      <c r="J13" s="22"/>
    </row>
    <row r="14" spans="1:10" ht="3" customHeight="1" x14ac:dyDescent="0.3">
      <c r="A14" s="48"/>
      <c r="B14" s="49"/>
      <c r="C14" s="50"/>
      <c r="D14" s="51"/>
      <c r="E14" s="52"/>
      <c r="F14" s="53"/>
      <c r="G14" s="48"/>
      <c r="H14" s="52"/>
      <c r="I14" s="48"/>
      <c r="J14" s="48"/>
    </row>
    <row r="15" spans="1:10" ht="40.15" customHeight="1" x14ac:dyDescent="0.3">
      <c r="A15" s="39" t="s">
        <v>76</v>
      </c>
      <c r="B15" s="40"/>
      <c r="C15" s="27"/>
      <c r="D15" s="35">
        <f ca="1">SUM(D4:D13)</f>
        <v>1420568</v>
      </c>
      <c r="E15" s="40"/>
      <c r="F15" s="38"/>
      <c r="G15" s="37">
        <f ca="1">SUM(G4:G13)</f>
        <v>1322830</v>
      </c>
      <c r="H15" s="40"/>
      <c r="I15" s="39"/>
      <c r="J15" s="37">
        <f>SUM(J4:J13)</f>
        <v>7032748</v>
      </c>
    </row>
    <row r="16" spans="1:10" ht="22.5" customHeight="1" x14ac:dyDescent="0.3">
      <c r="A16" s="18"/>
      <c r="B16" s="18"/>
      <c r="C16" s="18"/>
      <c r="D16" s="18"/>
      <c r="E16" s="18"/>
      <c r="F16" s="18"/>
      <c r="G16" s="18"/>
      <c r="H16" s="18"/>
      <c r="I16" s="23" t="s">
        <v>155</v>
      </c>
      <c r="J16" s="24">
        <v>7032748</v>
      </c>
    </row>
    <row r="17" spans="1:10" ht="22.5" customHeight="1" x14ac:dyDescent="0.3">
      <c r="A17" s="18"/>
      <c r="B17" s="18"/>
      <c r="C17" s="18"/>
      <c r="D17" s="18"/>
      <c r="E17" s="18"/>
      <c r="F17" s="18"/>
      <c r="G17" s="18"/>
      <c r="H17" s="18"/>
      <c r="I17" s="24"/>
      <c r="J17" t="b">
        <f>J16=J15</f>
        <v>1</v>
      </c>
    </row>
    <row r="18" spans="1:10" ht="22.5" customHeight="1" x14ac:dyDescent="0.3">
      <c r="J18" s="24">
        <f>J15-J16</f>
        <v>0</v>
      </c>
    </row>
    <row r="27" spans="1:10" ht="22.5" customHeight="1" x14ac:dyDescent="0.3">
      <c r="B27" s="7"/>
      <c r="D27" s="7"/>
      <c r="E27" s="7"/>
      <c r="G27" s="7"/>
      <c r="H27" s="7"/>
      <c r="I27" s="7"/>
    </row>
    <row r="28" spans="1:10" ht="22.5" customHeight="1" x14ac:dyDescent="0.3">
      <c r="B28" s="7"/>
      <c r="D28" s="7"/>
      <c r="E28" s="7"/>
      <c r="G28" s="7"/>
      <c r="H28" s="7"/>
      <c r="I28" s="7"/>
    </row>
    <row r="29" spans="1:10" ht="22.5" customHeight="1" x14ac:dyDescent="0.3">
      <c r="B29" s="7"/>
      <c r="D29" s="7"/>
      <c r="E29" s="7"/>
      <c r="G29" s="7"/>
      <c r="H29" s="7"/>
      <c r="I29" s="7"/>
    </row>
    <row r="30" spans="1:10" ht="22.5" customHeight="1" x14ac:dyDescent="0.3">
      <c r="B30" s="7"/>
      <c r="D30" s="7"/>
      <c r="E30" s="7"/>
      <c r="G30" s="7"/>
      <c r="H30" s="7"/>
      <c r="I30" s="7"/>
    </row>
  </sheetData>
  <phoneticPr fontId="1" type="noConversion"/>
  <conditionalFormatting sqref="J17">
    <cfRule type="cellIs" dxfId="0" priority="1" operator="equal">
      <formula>TRUE</formula>
    </cfRule>
  </conditionalFormatting>
  <pageMargins left="0.7" right="0.7" top="0.75" bottom="0.75" header="0.3" footer="0.3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4"/>
  <sheetViews>
    <sheetView zoomScale="115" zoomScaleNormal="115" workbookViewId="0">
      <pane xSplit="1" ySplit="3" topLeftCell="B7" activePane="bottomRight" state="frozen"/>
      <selection pane="topRight" activeCell="B1" sqref="B1"/>
      <selection pane="bottomLeft" activeCell="A3" sqref="A3"/>
      <selection pane="bottomRight" activeCell="M28" sqref="M28"/>
    </sheetView>
  </sheetViews>
  <sheetFormatPr defaultRowHeight="16.5" x14ac:dyDescent="0.3"/>
  <cols>
    <col min="2" max="2" width="9.375" style="99" bestFit="1" customWidth="1"/>
    <col min="25" max="25" width="10.625" style="99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s="1"/>
      <c r="B2" s="1"/>
      <c r="C2" s="1"/>
      <c r="D2" s="1"/>
      <c r="E2" s="98" t="s">
        <v>25</v>
      </c>
      <c r="F2" s="98" t="s">
        <v>25</v>
      </c>
      <c r="G2" s="98" t="s">
        <v>25</v>
      </c>
      <c r="H2" s="98" t="s">
        <v>25</v>
      </c>
      <c r="I2" s="98" t="s">
        <v>25</v>
      </c>
      <c r="J2" s="98" t="s">
        <v>25</v>
      </c>
      <c r="K2" s="98" t="s">
        <v>25</v>
      </c>
      <c r="L2" s="98" t="s">
        <v>25</v>
      </c>
      <c r="M2" s="98" t="s">
        <v>25</v>
      </c>
      <c r="N2" s="98" t="s">
        <v>25</v>
      </c>
      <c r="O2" s="98" t="s">
        <v>25</v>
      </c>
      <c r="P2" s="98" t="s">
        <v>25</v>
      </c>
      <c r="Q2" s="98" t="s">
        <v>25</v>
      </c>
      <c r="R2" s="98" t="s">
        <v>25</v>
      </c>
      <c r="S2" s="98" t="s">
        <v>25</v>
      </c>
      <c r="T2" s="98" t="s">
        <v>25</v>
      </c>
      <c r="U2" s="98" t="s">
        <v>25</v>
      </c>
      <c r="V2" s="98" t="s">
        <v>25</v>
      </c>
      <c r="W2" s="98" t="s">
        <v>26</v>
      </c>
      <c r="X2" s="98" t="s">
        <v>26</v>
      </c>
      <c r="Y2" s="1"/>
    </row>
    <row r="3" spans="1:25" x14ac:dyDescent="0.3">
      <c r="A3" s="5" t="s">
        <v>27</v>
      </c>
      <c r="B3" s="6">
        <f t="shared" ref="B3:X3" si="0">SUM(B4:B101)</f>
        <v>2300000</v>
      </c>
      <c r="C3" s="6">
        <f t="shared" si="0"/>
        <v>2200000</v>
      </c>
      <c r="D3" s="6">
        <f t="shared" si="0"/>
        <v>2300000</v>
      </c>
      <c r="E3" s="6">
        <f t="shared" si="0"/>
        <v>2400000</v>
      </c>
      <c r="F3" s="6">
        <f t="shared" si="0"/>
        <v>2300000</v>
      </c>
      <c r="G3" s="6">
        <f t="shared" si="0"/>
        <v>2400000</v>
      </c>
      <c r="H3" s="6">
        <f t="shared" si="0"/>
        <v>2400000</v>
      </c>
      <c r="I3" s="6">
        <f t="shared" si="0"/>
        <v>2400000</v>
      </c>
      <c r="J3" s="6">
        <f t="shared" si="0"/>
        <v>2400000</v>
      </c>
      <c r="K3" s="6">
        <f t="shared" si="0"/>
        <v>2400000</v>
      </c>
      <c r="L3" s="6">
        <f t="shared" si="0"/>
        <v>2300000</v>
      </c>
      <c r="M3" s="6">
        <f t="shared" si="0"/>
        <v>2400000</v>
      </c>
      <c r="N3" s="6">
        <f t="shared" si="0"/>
        <v>1800000</v>
      </c>
      <c r="O3" s="6">
        <f t="shared" si="0"/>
        <v>1800000</v>
      </c>
      <c r="P3" s="6">
        <f t="shared" si="0"/>
        <v>1800000</v>
      </c>
      <c r="Q3" s="6">
        <f t="shared" si="0"/>
        <v>1600000</v>
      </c>
      <c r="R3" s="6">
        <f t="shared" si="0"/>
        <v>1100000</v>
      </c>
      <c r="S3" s="6">
        <f t="shared" si="0"/>
        <v>600000</v>
      </c>
      <c r="T3" s="6">
        <f t="shared" si="0"/>
        <v>400000</v>
      </c>
      <c r="U3" s="6">
        <f t="shared" si="0"/>
        <v>200000</v>
      </c>
      <c r="V3" s="6">
        <f t="shared" si="0"/>
        <v>200000</v>
      </c>
      <c r="W3" s="6">
        <f t="shared" si="0"/>
        <v>1900000</v>
      </c>
      <c r="X3" s="6">
        <f t="shared" si="0"/>
        <v>200000</v>
      </c>
      <c r="Y3" s="6">
        <f t="shared" ref="Y3:Y34" si="1">SUM(B3:X3)</f>
        <v>39800000</v>
      </c>
    </row>
    <row r="4" spans="1:25" x14ac:dyDescent="0.3">
      <c r="A4" s="3" t="s">
        <v>28</v>
      </c>
      <c r="B4" s="25">
        <v>100000</v>
      </c>
      <c r="C4" s="4"/>
      <c r="D4" s="25">
        <v>100000</v>
      </c>
      <c r="E4" s="25">
        <v>100000</v>
      </c>
      <c r="F4" s="25">
        <v>100000</v>
      </c>
      <c r="G4" s="25">
        <v>100000</v>
      </c>
      <c r="H4" s="25">
        <v>100000</v>
      </c>
      <c r="I4" s="25">
        <v>100000</v>
      </c>
      <c r="J4" s="25">
        <v>100000</v>
      </c>
      <c r="K4" s="25">
        <v>100000</v>
      </c>
      <c r="L4" s="25">
        <v>100000</v>
      </c>
      <c r="M4" s="4"/>
      <c r="N4" s="4"/>
      <c r="O4" s="4"/>
      <c r="P4" s="4"/>
      <c r="Q4" s="4"/>
      <c r="R4" s="4"/>
      <c r="S4" s="4"/>
      <c r="T4" s="4"/>
      <c r="U4" s="4"/>
      <c r="V4" s="4"/>
      <c r="W4" s="25">
        <v>100000</v>
      </c>
      <c r="X4" s="4"/>
      <c r="Y4" s="6">
        <f t="shared" si="1"/>
        <v>1100000</v>
      </c>
    </row>
    <row r="5" spans="1:25" x14ac:dyDescent="0.3">
      <c r="A5" s="3" t="s">
        <v>29</v>
      </c>
      <c r="B5" s="25">
        <v>100000</v>
      </c>
      <c r="C5" s="4"/>
      <c r="D5" s="25">
        <v>100000</v>
      </c>
      <c r="E5" s="25">
        <v>100000</v>
      </c>
      <c r="F5" s="25">
        <v>100000</v>
      </c>
      <c r="G5" s="25">
        <v>100000</v>
      </c>
      <c r="H5" s="25">
        <v>100000</v>
      </c>
      <c r="I5" s="25">
        <v>100000</v>
      </c>
      <c r="J5" s="25">
        <v>100000</v>
      </c>
      <c r="K5" s="25">
        <v>100000</v>
      </c>
      <c r="L5" s="25">
        <v>100000</v>
      </c>
      <c r="M5" s="25">
        <v>100000</v>
      </c>
      <c r="N5" s="4"/>
      <c r="O5" s="4"/>
      <c r="P5" s="4"/>
      <c r="Q5" s="4"/>
      <c r="R5" s="4"/>
      <c r="S5" s="4"/>
      <c r="T5" s="4"/>
      <c r="U5" s="4"/>
      <c r="V5" s="4"/>
      <c r="W5" s="25">
        <v>100000</v>
      </c>
      <c r="X5" s="25">
        <v>100000</v>
      </c>
      <c r="Y5" s="6">
        <f t="shared" si="1"/>
        <v>1300000</v>
      </c>
    </row>
    <row r="6" spans="1:25" x14ac:dyDescent="0.3">
      <c r="A6" s="3" t="s">
        <v>30</v>
      </c>
      <c r="B6" s="25">
        <v>100000</v>
      </c>
      <c r="C6" s="25">
        <v>100000</v>
      </c>
      <c r="D6" s="25">
        <v>100000</v>
      </c>
      <c r="E6" s="25">
        <v>100000</v>
      </c>
      <c r="F6" s="25">
        <v>100000</v>
      </c>
      <c r="G6" s="25">
        <v>100000</v>
      </c>
      <c r="H6" s="25">
        <v>100000</v>
      </c>
      <c r="I6" s="25">
        <v>100000</v>
      </c>
      <c r="J6" s="25">
        <v>100000</v>
      </c>
      <c r="K6" s="25">
        <v>100000</v>
      </c>
      <c r="L6" s="25">
        <v>100000</v>
      </c>
      <c r="M6" s="25">
        <v>100000</v>
      </c>
      <c r="N6" s="4"/>
      <c r="O6" s="4"/>
      <c r="P6" s="4"/>
      <c r="Q6" s="4"/>
      <c r="R6" s="4"/>
      <c r="S6" s="4"/>
      <c r="T6" s="4"/>
      <c r="U6" s="4"/>
      <c r="V6" s="4"/>
      <c r="W6" s="25">
        <v>100000</v>
      </c>
      <c r="X6" s="25">
        <v>100000</v>
      </c>
      <c r="Y6" s="6">
        <f t="shared" si="1"/>
        <v>1400000</v>
      </c>
    </row>
    <row r="7" spans="1:25" x14ac:dyDescent="0.3">
      <c r="A7" s="3" t="s">
        <v>31</v>
      </c>
      <c r="B7" s="25">
        <v>100000</v>
      </c>
      <c r="C7" s="25">
        <v>100000</v>
      </c>
      <c r="D7" s="25">
        <v>100000</v>
      </c>
      <c r="E7" s="25">
        <v>100000</v>
      </c>
      <c r="F7" s="25">
        <v>100000</v>
      </c>
      <c r="G7" s="25">
        <v>100000</v>
      </c>
      <c r="H7" s="25">
        <v>100000</v>
      </c>
      <c r="I7" s="25">
        <v>100000</v>
      </c>
      <c r="J7" s="25">
        <v>100000</v>
      </c>
      <c r="K7" s="25">
        <v>100000</v>
      </c>
      <c r="L7" s="25">
        <v>100000</v>
      </c>
      <c r="M7" s="25">
        <v>100000</v>
      </c>
      <c r="N7" s="4"/>
      <c r="O7" s="4"/>
      <c r="P7" s="4"/>
      <c r="Q7" s="4"/>
      <c r="R7" s="4"/>
      <c r="S7" s="4"/>
      <c r="T7" s="4"/>
      <c r="U7" s="4"/>
      <c r="V7" s="4"/>
      <c r="W7" s="25">
        <v>100000</v>
      </c>
      <c r="X7" s="4"/>
      <c r="Y7" s="6">
        <f t="shared" si="1"/>
        <v>1300000</v>
      </c>
    </row>
    <row r="8" spans="1:25" x14ac:dyDescent="0.3">
      <c r="A8" s="3" t="s">
        <v>32</v>
      </c>
      <c r="B8" s="25">
        <v>100000</v>
      </c>
      <c r="C8" s="25">
        <v>100000</v>
      </c>
      <c r="D8" s="25">
        <v>100000</v>
      </c>
      <c r="E8" s="25">
        <v>100000</v>
      </c>
      <c r="F8" s="25">
        <v>100000</v>
      </c>
      <c r="G8" s="25">
        <v>100000</v>
      </c>
      <c r="H8" s="25">
        <v>100000</v>
      </c>
      <c r="I8" s="25">
        <v>100000</v>
      </c>
      <c r="J8" s="25">
        <v>100000</v>
      </c>
      <c r="K8" s="25">
        <v>100000</v>
      </c>
      <c r="L8" s="25">
        <v>100000</v>
      </c>
      <c r="M8" s="25">
        <v>100000</v>
      </c>
      <c r="N8" s="4"/>
      <c r="O8" s="4"/>
      <c r="P8" s="4"/>
      <c r="Q8" s="4"/>
      <c r="R8" s="4"/>
      <c r="S8" s="4"/>
      <c r="T8" s="4"/>
      <c r="U8" s="4"/>
      <c r="V8" s="4"/>
      <c r="W8" s="25">
        <v>100000</v>
      </c>
      <c r="X8" s="4"/>
      <c r="Y8" s="6">
        <f t="shared" si="1"/>
        <v>1300000</v>
      </c>
    </row>
    <row r="9" spans="1:25" x14ac:dyDescent="0.3">
      <c r="A9" s="3" t="s">
        <v>33</v>
      </c>
      <c r="B9" s="25">
        <v>100000</v>
      </c>
      <c r="C9" s="25">
        <v>100000</v>
      </c>
      <c r="D9" s="25">
        <v>100000</v>
      </c>
      <c r="E9" s="25">
        <v>100000</v>
      </c>
      <c r="F9" s="25">
        <v>100000</v>
      </c>
      <c r="G9" s="25">
        <v>100000</v>
      </c>
      <c r="H9" s="25">
        <v>100000</v>
      </c>
      <c r="I9" s="25">
        <v>100000</v>
      </c>
      <c r="J9" s="25">
        <v>100000</v>
      </c>
      <c r="K9" s="25">
        <v>100000</v>
      </c>
      <c r="L9" s="25">
        <v>100000</v>
      </c>
      <c r="M9" s="25">
        <v>100000</v>
      </c>
      <c r="N9" s="4"/>
      <c r="O9" s="4"/>
      <c r="P9" s="4"/>
      <c r="Q9" s="4"/>
      <c r="R9" s="4"/>
      <c r="S9" s="4"/>
      <c r="T9" s="4"/>
      <c r="U9" s="4"/>
      <c r="V9" s="4"/>
      <c r="W9" s="25">
        <v>100000</v>
      </c>
      <c r="X9" s="4"/>
      <c r="Y9" s="6">
        <f t="shared" si="1"/>
        <v>1300000</v>
      </c>
    </row>
    <row r="10" spans="1:25" x14ac:dyDescent="0.3">
      <c r="A10" s="3" t="s">
        <v>34</v>
      </c>
      <c r="B10" s="25">
        <v>100000</v>
      </c>
      <c r="C10" s="25">
        <v>100000</v>
      </c>
      <c r="D10" s="25">
        <v>100000</v>
      </c>
      <c r="E10" s="25">
        <v>100000</v>
      </c>
      <c r="F10" s="25">
        <v>100000</v>
      </c>
      <c r="G10" s="25">
        <v>100000</v>
      </c>
      <c r="H10" s="25">
        <v>100000</v>
      </c>
      <c r="I10" s="25">
        <v>100000</v>
      </c>
      <c r="J10" s="25">
        <v>100000</v>
      </c>
      <c r="K10" s="25">
        <v>100000</v>
      </c>
      <c r="L10" s="25">
        <v>100000</v>
      </c>
      <c r="M10" s="25">
        <v>100000</v>
      </c>
      <c r="N10" s="25">
        <v>100000</v>
      </c>
      <c r="O10" s="25">
        <v>100000</v>
      </c>
      <c r="P10" s="25">
        <v>100000</v>
      </c>
      <c r="Q10" s="4"/>
      <c r="R10" s="4"/>
      <c r="S10" s="4"/>
      <c r="T10" s="4"/>
      <c r="U10" s="4"/>
      <c r="V10" s="4"/>
      <c r="W10" s="25">
        <v>100000</v>
      </c>
      <c r="X10" s="4"/>
      <c r="Y10" s="6">
        <f t="shared" si="1"/>
        <v>1600000</v>
      </c>
    </row>
    <row r="11" spans="1:25" x14ac:dyDescent="0.3">
      <c r="A11" s="3" t="s">
        <v>35</v>
      </c>
      <c r="B11" s="25">
        <v>100000</v>
      </c>
      <c r="C11" s="25">
        <v>100000</v>
      </c>
      <c r="D11" s="25">
        <v>100000</v>
      </c>
      <c r="E11" s="25">
        <v>100000</v>
      </c>
      <c r="F11" s="25">
        <v>100000</v>
      </c>
      <c r="G11" s="25">
        <v>100000</v>
      </c>
      <c r="H11" s="25">
        <v>100000</v>
      </c>
      <c r="I11" s="25">
        <v>100000</v>
      </c>
      <c r="J11" s="25">
        <v>100000</v>
      </c>
      <c r="K11" s="25">
        <v>100000</v>
      </c>
      <c r="L11" s="25">
        <v>100000</v>
      </c>
      <c r="M11" s="25">
        <v>100000</v>
      </c>
      <c r="N11" s="25">
        <v>100000</v>
      </c>
      <c r="O11" s="25">
        <v>100000</v>
      </c>
      <c r="P11" s="25">
        <v>100000</v>
      </c>
      <c r="Q11" s="25">
        <v>100000</v>
      </c>
      <c r="R11" s="4"/>
      <c r="S11" s="4"/>
      <c r="T11" s="4"/>
      <c r="U11" s="4"/>
      <c r="V11" s="4"/>
      <c r="W11" s="25">
        <v>100000</v>
      </c>
      <c r="X11" s="4"/>
      <c r="Y11" s="6">
        <f t="shared" si="1"/>
        <v>1700000</v>
      </c>
    </row>
    <row r="12" spans="1:25" x14ac:dyDescent="0.3">
      <c r="A12" s="3" t="s">
        <v>36</v>
      </c>
      <c r="B12" s="25">
        <v>100000</v>
      </c>
      <c r="C12" s="25">
        <v>100000</v>
      </c>
      <c r="D12" s="25">
        <v>100000</v>
      </c>
      <c r="E12" s="25">
        <v>100000</v>
      </c>
      <c r="F12" s="25">
        <v>100000</v>
      </c>
      <c r="G12" s="25">
        <v>100000</v>
      </c>
      <c r="H12" s="25">
        <v>100000</v>
      </c>
      <c r="I12" s="25">
        <v>100000</v>
      </c>
      <c r="J12" s="25">
        <v>100000</v>
      </c>
      <c r="K12" s="25">
        <v>100000</v>
      </c>
      <c r="L12" s="25">
        <v>100000</v>
      </c>
      <c r="M12" s="25">
        <v>100000</v>
      </c>
      <c r="N12" s="25">
        <v>100000</v>
      </c>
      <c r="O12" s="25">
        <v>100000</v>
      </c>
      <c r="P12" s="25">
        <v>100000</v>
      </c>
      <c r="Q12" s="25">
        <v>100000</v>
      </c>
      <c r="R12" s="4"/>
      <c r="S12" s="4"/>
      <c r="T12" s="4"/>
      <c r="U12" s="4"/>
      <c r="V12" s="4"/>
      <c r="W12" s="25">
        <v>100000</v>
      </c>
      <c r="X12" s="4"/>
      <c r="Y12" s="6">
        <f t="shared" si="1"/>
        <v>1700000</v>
      </c>
    </row>
    <row r="13" spans="1:25" x14ac:dyDescent="0.3">
      <c r="A13" s="3" t="s">
        <v>37</v>
      </c>
      <c r="B13" s="25">
        <v>100000</v>
      </c>
      <c r="C13" s="25">
        <v>100000</v>
      </c>
      <c r="D13" s="25">
        <v>100000</v>
      </c>
      <c r="E13" s="25">
        <v>100000</v>
      </c>
      <c r="F13" s="25">
        <v>100000</v>
      </c>
      <c r="G13" s="25">
        <v>100000</v>
      </c>
      <c r="H13" s="25">
        <v>100000</v>
      </c>
      <c r="I13" s="25">
        <v>100000</v>
      </c>
      <c r="J13" s="25">
        <v>100000</v>
      </c>
      <c r="K13" s="25">
        <v>100000</v>
      </c>
      <c r="L13" s="25">
        <v>100000</v>
      </c>
      <c r="M13" s="25">
        <v>100000</v>
      </c>
      <c r="N13" s="25">
        <v>100000</v>
      </c>
      <c r="O13" s="25">
        <v>100000</v>
      </c>
      <c r="P13" s="25">
        <v>100000</v>
      </c>
      <c r="Q13" s="25">
        <v>100000</v>
      </c>
      <c r="R13" s="4"/>
      <c r="S13" s="4"/>
      <c r="T13" s="4"/>
      <c r="U13" s="4"/>
      <c r="V13" s="4"/>
      <c r="W13" s="25">
        <v>100000</v>
      </c>
      <c r="X13" s="4"/>
      <c r="Y13" s="6">
        <f t="shared" si="1"/>
        <v>1700000</v>
      </c>
    </row>
    <row r="14" spans="1:25" x14ac:dyDescent="0.3">
      <c r="A14" s="3" t="s">
        <v>38</v>
      </c>
      <c r="B14" s="25">
        <v>100000</v>
      </c>
      <c r="C14" s="25">
        <v>100000</v>
      </c>
      <c r="D14" s="25">
        <v>100000</v>
      </c>
      <c r="E14" s="25">
        <v>100000</v>
      </c>
      <c r="F14" s="25">
        <v>100000</v>
      </c>
      <c r="G14" s="25">
        <v>100000</v>
      </c>
      <c r="H14" s="25">
        <v>100000</v>
      </c>
      <c r="I14" s="25">
        <v>100000</v>
      </c>
      <c r="J14" s="25">
        <v>100000</v>
      </c>
      <c r="K14" s="25">
        <v>100000</v>
      </c>
      <c r="L14" s="25">
        <v>100000</v>
      </c>
      <c r="M14" s="25">
        <v>100000</v>
      </c>
      <c r="N14" s="25">
        <v>100000</v>
      </c>
      <c r="O14" s="25">
        <v>100000</v>
      </c>
      <c r="P14" s="25">
        <v>100000</v>
      </c>
      <c r="Q14" s="25">
        <v>100000</v>
      </c>
      <c r="R14" s="4"/>
      <c r="S14" s="4"/>
      <c r="T14" s="4"/>
      <c r="U14" s="4"/>
      <c r="V14" s="4"/>
      <c r="W14" s="25">
        <v>100000</v>
      </c>
      <c r="X14" s="4"/>
      <c r="Y14" s="6">
        <f t="shared" si="1"/>
        <v>1700000</v>
      </c>
    </row>
    <row r="15" spans="1:25" x14ac:dyDescent="0.3">
      <c r="A15" s="3" t="s">
        <v>39</v>
      </c>
      <c r="B15" s="25">
        <v>100000</v>
      </c>
      <c r="C15" s="25">
        <v>100000</v>
      </c>
      <c r="D15" s="25">
        <v>100000</v>
      </c>
      <c r="E15" s="25">
        <v>100000</v>
      </c>
      <c r="F15" s="25">
        <v>100000</v>
      </c>
      <c r="G15" s="25">
        <v>100000</v>
      </c>
      <c r="H15" s="25">
        <v>100000</v>
      </c>
      <c r="I15" s="25">
        <v>100000</v>
      </c>
      <c r="J15" s="25">
        <v>100000</v>
      </c>
      <c r="K15" s="25">
        <v>100000</v>
      </c>
      <c r="L15" s="25">
        <v>100000</v>
      </c>
      <c r="M15" s="25">
        <v>100000</v>
      </c>
      <c r="N15" s="25">
        <v>100000</v>
      </c>
      <c r="O15" s="25">
        <v>100000</v>
      </c>
      <c r="P15" s="25">
        <v>100000</v>
      </c>
      <c r="Q15" s="25">
        <v>100000</v>
      </c>
      <c r="R15" s="4"/>
      <c r="S15" s="4"/>
      <c r="T15" s="4"/>
      <c r="U15" s="4"/>
      <c r="V15" s="4"/>
      <c r="W15" s="25">
        <v>100000</v>
      </c>
      <c r="X15" s="4"/>
      <c r="Y15" s="6">
        <f t="shared" si="1"/>
        <v>1700000</v>
      </c>
    </row>
    <row r="16" spans="1:25" x14ac:dyDescent="0.3">
      <c r="A16" s="3" t="s">
        <v>40</v>
      </c>
      <c r="B16" s="25">
        <v>100000</v>
      </c>
      <c r="C16" s="25">
        <v>100000</v>
      </c>
      <c r="D16" s="25">
        <v>100000</v>
      </c>
      <c r="E16" s="25">
        <v>100000</v>
      </c>
      <c r="F16" s="25">
        <v>100000</v>
      </c>
      <c r="G16" s="25">
        <v>100000</v>
      </c>
      <c r="H16" s="25">
        <v>100000</v>
      </c>
      <c r="I16" s="25">
        <v>100000</v>
      </c>
      <c r="J16" s="25">
        <v>100000</v>
      </c>
      <c r="K16" s="25">
        <v>100000</v>
      </c>
      <c r="L16" s="25">
        <v>100000</v>
      </c>
      <c r="M16" s="25">
        <v>100000</v>
      </c>
      <c r="N16" s="25">
        <v>100000</v>
      </c>
      <c r="O16" s="25">
        <v>100000</v>
      </c>
      <c r="P16" s="25">
        <v>100000</v>
      </c>
      <c r="Q16" s="25">
        <v>100000</v>
      </c>
      <c r="R16" s="4"/>
      <c r="S16" s="4"/>
      <c r="T16" s="4"/>
      <c r="U16" s="4"/>
      <c r="V16" s="4"/>
      <c r="W16" s="25">
        <v>100000</v>
      </c>
      <c r="X16" s="4"/>
      <c r="Y16" s="6">
        <f t="shared" si="1"/>
        <v>1700000</v>
      </c>
    </row>
    <row r="17" spans="1:25" x14ac:dyDescent="0.3">
      <c r="A17" s="3" t="s">
        <v>41</v>
      </c>
      <c r="B17" s="25">
        <v>100000</v>
      </c>
      <c r="C17" s="25">
        <v>100000</v>
      </c>
      <c r="D17" s="25">
        <v>100000</v>
      </c>
      <c r="E17" s="25">
        <v>100000</v>
      </c>
      <c r="F17" s="25">
        <v>100000</v>
      </c>
      <c r="G17" s="25">
        <v>100000</v>
      </c>
      <c r="H17" s="25">
        <v>100000</v>
      </c>
      <c r="I17" s="25">
        <v>100000</v>
      </c>
      <c r="J17" s="25">
        <v>100000</v>
      </c>
      <c r="K17" s="25">
        <v>100000</v>
      </c>
      <c r="L17" s="25">
        <v>100000</v>
      </c>
      <c r="M17" s="25">
        <v>100000</v>
      </c>
      <c r="N17" s="25">
        <v>100000</v>
      </c>
      <c r="O17" s="25">
        <v>100000</v>
      </c>
      <c r="P17" s="25">
        <v>100000</v>
      </c>
      <c r="Q17" s="25">
        <v>100000</v>
      </c>
      <c r="R17" s="25">
        <v>100000</v>
      </c>
      <c r="S17" s="4"/>
      <c r="T17" s="4"/>
      <c r="U17" s="4"/>
      <c r="V17" s="4"/>
      <c r="W17" s="25">
        <v>100000</v>
      </c>
      <c r="X17" s="4"/>
      <c r="Y17" s="6">
        <f t="shared" si="1"/>
        <v>1800000</v>
      </c>
    </row>
    <row r="18" spans="1:25" ht="16.149999999999999" customHeight="1" x14ac:dyDescent="0.3">
      <c r="A18" s="3" t="s">
        <v>42</v>
      </c>
      <c r="B18" s="25">
        <v>100000</v>
      </c>
      <c r="C18" s="25">
        <v>100000</v>
      </c>
      <c r="D18" s="25">
        <v>100000</v>
      </c>
      <c r="E18" s="25">
        <v>100000</v>
      </c>
      <c r="F18" s="25">
        <v>100000</v>
      </c>
      <c r="G18" s="25">
        <v>100000</v>
      </c>
      <c r="H18" s="25">
        <v>100000</v>
      </c>
      <c r="I18" s="25">
        <v>100000</v>
      </c>
      <c r="J18" s="25">
        <v>100000</v>
      </c>
      <c r="K18" s="25">
        <v>100000</v>
      </c>
      <c r="L18" s="25">
        <v>100000</v>
      </c>
      <c r="M18" s="25">
        <v>100000</v>
      </c>
      <c r="N18" s="25">
        <v>100000</v>
      </c>
      <c r="O18" s="25">
        <v>100000</v>
      </c>
      <c r="P18" s="25">
        <v>100000</v>
      </c>
      <c r="Q18" s="25">
        <v>100000</v>
      </c>
      <c r="R18" s="25">
        <v>100000</v>
      </c>
      <c r="S18" s="4"/>
      <c r="T18" s="4"/>
      <c r="U18" s="4"/>
      <c r="V18" s="4"/>
      <c r="W18" s="25">
        <v>100000</v>
      </c>
      <c r="X18" s="4"/>
      <c r="Y18" s="6">
        <f t="shared" si="1"/>
        <v>1800000</v>
      </c>
    </row>
    <row r="19" spans="1:25" x14ac:dyDescent="0.3">
      <c r="A19" s="3" t="s">
        <v>43</v>
      </c>
      <c r="B19" s="25">
        <v>100000</v>
      </c>
      <c r="C19" s="25">
        <v>100000</v>
      </c>
      <c r="D19" s="25">
        <v>100000</v>
      </c>
      <c r="E19" s="25">
        <v>100000</v>
      </c>
      <c r="F19" s="25">
        <v>100000</v>
      </c>
      <c r="G19" s="25">
        <v>100000</v>
      </c>
      <c r="H19" s="25">
        <v>100000</v>
      </c>
      <c r="I19" s="25">
        <v>100000</v>
      </c>
      <c r="J19" s="25">
        <v>100000</v>
      </c>
      <c r="K19" s="25">
        <v>100000</v>
      </c>
      <c r="L19" s="25">
        <v>100000</v>
      </c>
      <c r="M19" s="25">
        <v>100000</v>
      </c>
      <c r="N19" s="25">
        <v>100000</v>
      </c>
      <c r="O19" s="25">
        <v>100000</v>
      </c>
      <c r="P19" s="25">
        <v>100000</v>
      </c>
      <c r="Q19" s="25">
        <v>100000</v>
      </c>
      <c r="R19" s="25">
        <v>100000</v>
      </c>
      <c r="S19" s="4"/>
      <c r="T19" s="4"/>
      <c r="U19" s="4"/>
      <c r="V19" s="4"/>
      <c r="W19" s="25">
        <v>100000</v>
      </c>
      <c r="X19" s="4"/>
      <c r="Y19" s="6">
        <f t="shared" si="1"/>
        <v>1800000</v>
      </c>
    </row>
    <row r="20" spans="1:25" x14ac:dyDescent="0.3">
      <c r="A20" s="3" t="s">
        <v>44</v>
      </c>
      <c r="B20" s="25">
        <v>100000</v>
      </c>
      <c r="C20" s="25">
        <v>100000</v>
      </c>
      <c r="D20" s="25">
        <v>100000</v>
      </c>
      <c r="E20" s="25">
        <v>100000</v>
      </c>
      <c r="F20" s="25">
        <v>100000</v>
      </c>
      <c r="G20" s="25">
        <v>100000</v>
      </c>
      <c r="H20" s="25">
        <v>100000</v>
      </c>
      <c r="I20" s="25">
        <v>100000</v>
      </c>
      <c r="J20" s="25">
        <v>100000</v>
      </c>
      <c r="K20" s="25">
        <v>100000</v>
      </c>
      <c r="L20" s="25">
        <v>100000</v>
      </c>
      <c r="M20" s="25">
        <v>100000</v>
      </c>
      <c r="N20" s="25">
        <v>100000</v>
      </c>
      <c r="O20" s="25">
        <v>100000</v>
      </c>
      <c r="P20" s="25">
        <v>100000</v>
      </c>
      <c r="Q20" s="25">
        <v>100000</v>
      </c>
      <c r="R20" s="25">
        <v>100000</v>
      </c>
      <c r="S20" s="4"/>
      <c r="T20" s="4"/>
      <c r="U20" s="4"/>
      <c r="V20" s="4"/>
      <c r="W20" s="25">
        <v>100000</v>
      </c>
      <c r="X20" s="4"/>
      <c r="Y20" s="6">
        <f t="shared" si="1"/>
        <v>1800000</v>
      </c>
    </row>
    <row r="21" spans="1:25" x14ac:dyDescent="0.3">
      <c r="A21" s="3" t="s">
        <v>45</v>
      </c>
      <c r="B21" s="25">
        <v>100000</v>
      </c>
      <c r="C21" s="25">
        <v>100000</v>
      </c>
      <c r="D21" s="25">
        <v>100000</v>
      </c>
      <c r="E21" s="25">
        <v>100000</v>
      </c>
      <c r="F21" s="25">
        <v>100000</v>
      </c>
      <c r="G21" s="25">
        <v>100000</v>
      </c>
      <c r="H21" s="25">
        <v>100000</v>
      </c>
      <c r="I21" s="25">
        <v>100000</v>
      </c>
      <c r="J21" s="25">
        <v>100000</v>
      </c>
      <c r="K21" s="25">
        <v>100000</v>
      </c>
      <c r="L21" s="25">
        <v>100000</v>
      </c>
      <c r="M21" s="25">
        <v>100000</v>
      </c>
      <c r="N21" s="25">
        <v>100000</v>
      </c>
      <c r="O21" s="25">
        <v>100000</v>
      </c>
      <c r="P21" s="25">
        <v>100000</v>
      </c>
      <c r="Q21" s="25">
        <v>100000</v>
      </c>
      <c r="R21" s="25">
        <v>100000</v>
      </c>
      <c r="S21" s="4"/>
      <c r="T21" s="4"/>
      <c r="U21" s="4"/>
      <c r="V21" s="4"/>
      <c r="W21" s="25">
        <v>100000</v>
      </c>
      <c r="X21" s="4"/>
      <c r="Y21" s="6">
        <f t="shared" si="1"/>
        <v>1800000</v>
      </c>
    </row>
    <row r="22" spans="1:25" ht="15.75" customHeight="1" x14ac:dyDescent="0.3">
      <c r="A22" s="3" t="s">
        <v>46</v>
      </c>
      <c r="B22" s="25">
        <v>100000</v>
      </c>
      <c r="C22" s="25">
        <v>100000</v>
      </c>
      <c r="D22" s="25">
        <v>100000</v>
      </c>
      <c r="E22" s="25">
        <v>100000</v>
      </c>
      <c r="F22" s="25">
        <v>100000</v>
      </c>
      <c r="G22" s="25">
        <v>100000</v>
      </c>
      <c r="H22" s="25">
        <v>100000</v>
      </c>
      <c r="I22" s="25">
        <v>100000</v>
      </c>
      <c r="J22" s="25">
        <v>100000</v>
      </c>
      <c r="K22" s="25">
        <v>100000</v>
      </c>
      <c r="L22" s="25">
        <v>100000</v>
      </c>
      <c r="M22" s="25">
        <v>100000</v>
      </c>
      <c r="N22" s="25">
        <v>100000</v>
      </c>
      <c r="O22" s="25">
        <v>100000</v>
      </c>
      <c r="P22" s="25">
        <v>100000</v>
      </c>
      <c r="Q22" s="25">
        <v>100000</v>
      </c>
      <c r="R22" s="25">
        <v>100000</v>
      </c>
      <c r="S22" s="25">
        <v>100000</v>
      </c>
      <c r="T22" s="4"/>
      <c r="U22" s="4"/>
      <c r="V22" s="4"/>
      <c r="W22" s="25">
        <v>100000</v>
      </c>
      <c r="X22" s="4"/>
      <c r="Y22" s="6">
        <f t="shared" si="1"/>
        <v>1900000</v>
      </c>
    </row>
    <row r="23" spans="1:25" ht="15.75" customHeight="1" x14ac:dyDescent="0.3">
      <c r="A23" s="3" t="s">
        <v>47</v>
      </c>
      <c r="B23" s="25">
        <v>100000</v>
      </c>
      <c r="C23" s="25">
        <v>100000</v>
      </c>
      <c r="D23" s="25">
        <v>100000</v>
      </c>
      <c r="E23" s="25">
        <v>100000</v>
      </c>
      <c r="F23" s="25">
        <v>100000</v>
      </c>
      <c r="G23" s="25">
        <v>100000</v>
      </c>
      <c r="H23" s="25">
        <v>100000</v>
      </c>
      <c r="I23" s="25">
        <v>100000</v>
      </c>
      <c r="J23" s="25">
        <v>100000</v>
      </c>
      <c r="K23" s="25">
        <v>100000</v>
      </c>
      <c r="L23" s="25">
        <v>100000</v>
      </c>
      <c r="M23" s="25">
        <v>100000</v>
      </c>
      <c r="N23" s="25">
        <v>100000</v>
      </c>
      <c r="O23" s="25">
        <v>100000</v>
      </c>
      <c r="P23" s="25">
        <v>100000</v>
      </c>
      <c r="Q23" s="25">
        <v>100000</v>
      </c>
      <c r="R23" s="25">
        <v>100000</v>
      </c>
      <c r="S23" s="25">
        <v>100000</v>
      </c>
      <c r="T23" s="4"/>
      <c r="U23" s="4"/>
      <c r="V23" s="4"/>
      <c r="W23" s="4"/>
      <c r="X23" s="4"/>
      <c r="Y23" s="6">
        <f t="shared" si="1"/>
        <v>1800000</v>
      </c>
    </row>
    <row r="24" spans="1:25" ht="15.75" customHeight="1" x14ac:dyDescent="0.3">
      <c r="A24" s="3" t="s">
        <v>48</v>
      </c>
      <c r="B24" s="25">
        <v>100000</v>
      </c>
      <c r="C24" s="25">
        <v>100000</v>
      </c>
      <c r="D24" s="25">
        <v>100000</v>
      </c>
      <c r="E24" s="25">
        <v>100000</v>
      </c>
      <c r="F24" s="25">
        <v>100000</v>
      </c>
      <c r="G24" s="25">
        <v>100000</v>
      </c>
      <c r="H24" s="25">
        <v>100000</v>
      </c>
      <c r="I24" s="25">
        <v>100000</v>
      </c>
      <c r="J24" s="25">
        <v>100000</v>
      </c>
      <c r="K24" s="25">
        <v>100000</v>
      </c>
      <c r="L24" s="25">
        <v>100000</v>
      </c>
      <c r="M24" s="25">
        <v>100000</v>
      </c>
      <c r="N24" s="25">
        <v>100000</v>
      </c>
      <c r="O24" s="25">
        <v>100000</v>
      </c>
      <c r="P24" s="25">
        <v>100000</v>
      </c>
      <c r="Q24" s="25">
        <v>100000</v>
      </c>
      <c r="R24" s="25">
        <v>100000</v>
      </c>
      <c r="S24" s="25">
        <v>100000</v>
      </c>
      <c r="T24" s="25">
        <v>100000</v>
      </c>
      <c r="U24" s="4"/>
      <c r="V24" s="4"/>
      <c r="W24" s="4"/>
      <c r="X24" s="4"/>
      <c r="Y24" s="6">
        <f t="shared" si="1"/>
        <v>1900000</v>
      </c>
    </row>
    <row r="25" spans="1:25" ht="15.75" customHeight="1" x14ac:dyDescent="0.3">
      <c r="A25" s="3" t="s">
        <v>49</v>
      </c>
      <c r="B25" s="25">
        <v>100000</v>
      </c>
      <c r="C25" s="25">
        <v>100000</v>
      </c>
      <c r="D25" s="25">
        <v>100000</v>
      </c>
      <c r="E25" s="25">
        <v>100000</v>
      </c>
      <c r="F25" s="25">
        <v>100000</v>
      </c>
      <c r="G25" s="25">
        <v>100000</v>
      </c>
      <c r="H25" s="25">
        <v>100000</v>
      </c>
      <c r="I25" s="25">
        <v>100000</v>
      </c>
      <c r="J25" s="25">
        <v>100000</v>
      </c>
      <c r="K25" s="25">
        <v>100000</v>
      </c>
      <c r="L25" s="25">
        <v>100000</v>
      </c>
      <c r="M25" s="25">
        <v>100000</v>
      </c>
      <c r="N25" s="25">
        <v>100000</v>
      </c>
      <c r="O25" s="25">
        <v>100000</v>
      </c>
      <c r="P25" s="25">
        <v>100000</v>
      </c>
      <c r="Q25" s="25">
        <v>100000</v>
      </c>
      <c r="R25" s="25">
        <v>100000</v>
      </c>
      <c r="S25" s="25">
        <v>100000</v>
      </c>
      <c r="T25" s="25">
        <v>100000</v>
      </c>
      <c r="U25" s="4"/>
      <c r="V25" s="4"/>
      <c r="W25" s="4"/>
      <c r="X25" s="4"/>
      <c r="Y25" s="6">
        <f t="shared" si="1"/>
        <v>1900000</v>
      </c>
    </row>
    <row r="26" spans="1:25" ht="15.75" customHeight="1" x14ac:dyDescent="0.3">
      <c r="A26" s="3" t="s">
        <v>50</v>
      </c>
      <c r="B26" s="25">
        <v>100000</v>
      </c>
      <c r="C26" s="25">
        <v>100000</v>
      </c>
      <c r="D26" s="25">
        <v>100000</v>
      </c>
      <c r="E26" s="25">
        <v>100000</v>
      </c>
      <c r="F26" s="100">
        <v>100000</v>
      </c>
      <c r="G26" s="25">
        <v>100000</v>
      </c>
      <c r="H26" s="25">
        <v>100000</v>
      </c>
      <c r="I26" s="100">
        <v>100000</v>
      </c>
      <c r="J26" s="25">
        <v>100000</v>
      </c>
      <c r="K26" s="25">
        <v>100000</v>
      </c>
      <c r="L26" s="25">
        <v>100000</v>
      </c>
      <c r="M26" s="25">
        <v>100000</v>
      </c>
      <c r="N26" s="25">
        <v>100000</v>
      </c>
      <c r="O26" s="25">
        <v>100000</v>
      </c>
      <c r="P26" s="25">
        <v>100000</v>
      </c>
      <c r="Q26" s="25">
        <v>100000</v>
      </c>
      <c r="R26" s="100">
        <v>100000</v>
      </c>
      <c r="S26" s="25">
        <v>100000</v>
      </c>
      <c r="T26" s="25">
        <v>100000</v>
      </c>
      <c r="U26" s="25">
        <v>100000</v>
      </c>
      <c r="V26" s="25">
        <v>100000</v>
      </c>
      <c r="W26" s="4"/>
      <c r="X26" s="4"/>
      <c r="Y26" s="6">
        <f t="shared" si="1"/>
        <v>2100000</v>
      </c>
    </row>
    <row r="27" spans="1:25" ht="15.75" customHeight="1" x14ac:dyDescent="0.3">
      <c r="A27" s="3" t="s">
        <v>51</v>
      </c>
      <c r="B27" s="101"/>
      <c r="C27" s="25">
        <v>100000</v>
      </c>
      <c r="D27" s="101"/>
      <c r="E27" s="25">
        <v>100000</v>
      </c>
      <c r="F27" s="69"/>
      <c r="G27" s="25">
        <v>100000</v>
      </c>
      <c r="H27" s="25">
        <v>100000</v>
      </c>
      <c r="I27" s="100">
        <v>100000</v>
      </c>
      <c r="J27" s="25">
        <v>100000</v>
      </c>
      <c r="K27" s="25">
        <v>100000</v>
      </c>
      <c r="L27" s="101"/>
      <c r="M27" s="25">
        <v>100000</v>
      </c>
      <c r="N27" s="25">
        <v>100000</v>
      </c>
      <c r="O27" s="25">
        <v>100000</v>
      </c>
      <c r="P27" s="25">
        <v>100000</v>
      </c>
      <c r="Q27" s="101"/>
      <c r="R27" s="100">
        <v>100000</v>
      </c>
      <c r="S27" s="25">
        <v>100000</v>
      </c>
      <c r="T27" s="25">
        <v>100000</v>
      </c>
      <c r="U27" s="25">
        <v>100000</v>
      </c>
      <c r="V27" s="25">
        <v>100000</v>
      </c>
      <c r="W27" s="4"/>
      <c r="X27" s="4"/>
      <c r="Y27" s="6">
        <f t="shared" si="1"/>
        <v>1600000</v>
      </c>
    </row>
    <row r="28" spans="1:25" ht="15.75" customHeight="1" x14ac:dyDescent="0.3">
      <c r="A28" s="3" t="s">
        <v>52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5">
        <v>100000</v>
      </c>
      <c r="N28" s="26"/>
      <c r="O28" s="26"/>
      <c r="P28" s="26"/>
      <c r="Q28" s="26"/>
      <c r="R28" s="26"/>
      <c r="S28" s="26"/>
      <c r="T28" s="26"/>
      <c r="U28" s="26"/>
      <c r="V28" s="26"/>
      <c r="W28" s="4"/>
      <c r="X28" s="4"/>
      <c r="Y28" s="6">
        <f t="shared" si="1"/>
        <v>100000</v>
      </c>
    </row>
    <row r="29" spans="1:25" ht="15.75" customHeight="1" x14ac:dyDescent="0.3">
      <c r="A29" s="3" t="s">
        <v>53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4"/>
      <c r="X29" s="4"/>
      <c r="Y29" s="6">
        <f t="shared" si="1"/>
        <v>0</v>
      </c>
    </row>
    <row r="30" spans="1:25" ht="15.75" customHeight="1" x14ac:dyDescent="0.3">
      <c r="A30" s="3" t="s">
        <v>54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4"/>
      <c r="X30" s="4"/>
      <c r="Y30" s="6">
        <f t="shared" si="1"/>
        <v>0</v>
      </c>
    </row>
    <row r="31" spans="1:25" ht="15.75" customHeight="1" x14ac:dyDescent="0.3">
      <c r="A31" s="3" t="s">
        <v>55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4"/>
      <c r="X31" s="4"/>
      <c r="Y31" s="6">
        <f t="shared" si="1"/>
        <v>0</v>
      </c>
    </row>
    <row r="32" spans="1:25" ht="15.75" customHeight="1" x14ac:dyDescent="0.3">
      <c r="A32" s="3" t="s">
        <v>56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4"/>
      <c r="X32" s="4"/>
      <c r="Y32" s="6">
        <f t="shared" si="1"/>
        <v>0</v>
      </c>
    </row>
    <row r="33" spans="1:25" ht="15.75" customHeight="1" x14ac:dyDescent="0.3">
      <c r="A33" s="3" t="s">
        <v>57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4"/>
      <c r="X33" s="4"/>
      <c r="Y33" s="6">
        <f t="shared" si="1"/>
        <v>0</v>
      </c>
    </row>
    <row r="34" spans="1:25" ht="15.75" customHeight="1" x14ac:dyDescent="0.3">
      <c r="A34" s="3" t="s">
        <v>58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4"/>
      <c r="X34" s="4"/>
      <c r="Y34" s="6">
        <f t="shared" si="1"/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9"/>
  <sheetViews>
    <sheetView zoomScale="115" zoomScaleNormal="115" workbookViewId="0">
      <pane xSplit="2" ySplit="2" topLeftCell="C85" activePane="bottomRight" state="frozen"/>
      <selection pane="topRight" activeCell="C1" sqref="C1"/>
      <selection pane="bottomLeft" activeCell="A3" sqref="A3"/>
      <selection pane="bottomRight" activeCell="F103" sqref="F103"/>
    </sheetView>
  </sheetViews>
  <sheetFormatPr defaultRowHeight="16.5" x14ac:dyDescent="0.3"/>
  <cols>
    <col min="1" max="1" width="13.25" style="99" customWidth="1"/>
    <col min="2" max="2" width="8.75" style="99" customWidth="1"/>
    <col min="3" max="8" width="13.25" style="99" customWidth="1"/>
    <col min="9" max="9" width="25.875" style="99" customWidth="1"/>
    <col min="10" max="10" width="9.375" style="99" bestFit="1" customWidth="1"/>
    <col min="11" max="11" width="11" style="99" customWidth="1"/>
  </cols>
  <sheetData>
    <row r="1" spans="1:9" ht="17.25" customHeight="1" thickBot="1" x14ac:dyDescent="0.35">
      <c r="A1" s="8" t="s">
        <v>77</v>
      </c>
      <c r="B1" s="8" t="s">
        <v>78</v>
      </c>
      <c r="C1" s="11" t="s">
        <v>79</v>
      </c>
      <c r="D1" s="11" t="s">
        <v>80</v>
      </c>
      <c r="E1" s="11" t="s">
        <v>81</v>
      </c>
      <c r="F1" s="11" t="s">
        <v>82</v>
      </c>
      <c r="G1" s="11" t="s">
        <v>83</v>
      </c>
      <c r="H1" s="8" t="s">
        <v>84</v>
      </c>
      <c r="I1" s="11" t="s">
        <v>85</v>
      </c>
    </row>
    <row r="2" spans="1:9" ht="17.25" customHeight="1" thickTop="1" x14ac:dyDescent="0.3">
      <c r="A2" s="9" t="s">
        <v>86</v>
      </c>
      <c r="B2" s="9" t="s">
        <v>86</v>
      </c>
      <c r="C2" s="12" t="s">
        <v>87</v>
      </c>
      <c r="D2" s="12" t="s">
        <v>87</v>
      </c>
      <c r="E2" s="12" t="s">
        <v>87</v>
      </c>
      <c r="F2" s="12" t="s">
        <v>87</v>
      </c>
      <c r="G2" s="12" t="s">
        <v>87</v>
      </c>
      <c r="H2" s="9" t="s">
        <v>86</v>
      </c>
      <c r="I2" s="12" t="s">
        <v>87</v>
      </c>
    </row>
    <row r="3" spans="1:9" x14ac:dyDescent="0.3">
      <c r="A3" s="10" t="str">
        <f t="shared" ref="A3:A34" si="0">RIGHT(YEAR(C3),2)&amp;"년 "&amp;MONTH(C3)&amp;"월"</f>
        <v>24년 6월</v>
      </c>
      <c r="B3" s="10" t="str">
        <f>VLOOKUP(WEEKDAY(C3,2),참조!$A$1:$B$10,2,)</f>
        <v>토</v>
      </c>
      <c r="C3" s="14">
        <v>45444</v>
      </c>
      <c r="D3" s="14" t="s">
        <v>88</v>
      </c>
      <c r="E3" s="14" t="s">
        <v>68</v>
      </c>
      <c r="F3" s="15"/>
      <c r="G3" s="15">
        <f>SUMIFS(입금현황!$Y:$Y,입금현황!$A:$A,원장!$A3)</f>
        <v>1100000</v>
      </c>
      <c r="H3" s="17">
        <f t="shared" ref="H3:H34" si="1">G3-F3</f>
        <v>1100000</v>
      </c>
      <c r="I3" s="16" t="s">
        <v>89</v>
      </c>
    </row>
    <row r="4" spans="1:9" x14ac:dyDescent="0.3">
      <c r="A4" s="10" t="str">
        <f t="shared" si="0"/>
        <v>24년 6월</v>
      </c>
      <c r="B4" s="10" t="str">
        <f>VLOOKUP(WEEKDAY(C4,2),참조!$A$1:$B$10,2,)</f>
        <v>토</v>
      </c>
      <c r="C4" s="14">
        <v>45472</v>
      </c>
      <c r="D4" s="14" t="s">
        <v>90</v>
      </c>
      <c r="E4" s="14" t="s">
        <v>72</v>
      </c>
      <c r="F4" s="15">
        <f>417000+260400</f>
        <v>677400</v>
      </c>
      <c r="G4" s="15"/>
      <c r="H4" s="17">
        <f t="shared" si="1"/>
        <v>-677400</v>
      </c>
      <c r="I4" s="16" t="s">
        <v>91</v>
      </c>
    </row>
    <row r="5" spans="1:9" x14ac:dyDescent="0.3">
      <c r="A5" s="10" t="str">
        <f t="shared" si="0"/>
        <v>24년 7월</v>
      </c>
      <c r="B5" s="10" t="str">
        <f>VLOOKUP(WEEKDAY(C5,2),참조!$A$1:$B$10,2,)</f>
        <v>월</v>
      </c>
      <c r="C5" s="14">
        <v>45474</v>
      </c>
      <c r="D5" s="14" t="s">
        <v>88</v>
      </c>
      <c r="E5" s="14" t="s">
        <v>68</v>
      </c>
      <c r="F5" s="15"/>
      <c r="G5" s="15">
        <f>SUMIFS(입금현황!$Y:$Y,입금현황!$A:$A,원장!$A5)</f>
        <v>1300000</v>
      </c>
      <c r="H5" s="17">
        <f t="shared" si="1"/>
        <v>1300000</v>
      </c>
      <c r="I5" s="16" t="s">
        <v>89</v>
      </c>
    </row>
    <row r="6" spans="1:9" x14ac:dyDescent="0.3">
      <c r="A6" s="10" t="str">
        <f t="shared" si="0"/>
        <v>24년 7월</v>
      </c>
      <c r="B6" s="10" t="str">
        <f>VLOOKUP(WEEKDAY(C6,2),참조!$A$1:$B$10,2,)</f>
        <v>토</v>
      </c>
      <c r="C6" s="14">
        <v>45500</v>
      </c>
      <c r="D6" s="14" t="s">
        <v>90</v>
      </c>
      <c r="E6" s="14" t="s">
        <v>72</v>
      </c>
      <c r="F6" s="15">
        <v>547800</v>
      </c>
      <c r="G6" s="15"/>
      <c r="H6" s="17">
        <f t="shared" si="1"/>
        <v>-547800</v>
      </c>
      <c r="I6" s="16" t="s">
        <v>92</v>
      </c>
    </row>
    <row r="7" spans="1:9" x14ac:dyDescent="0.3">
      <c r="A7" s="10" t="str">
        <f t="shared" si="0"/>
        <v>24년 8월</v>
      </c>
      <c r="B7" s="10" t="str">
        <f>VLOOKUP(WEEKDAY(C7,2),참조!$A$1:$B$10,2,)</f>
        <v>목</v>
      </c>
      <c r="C7" s="14">
        <v>45505</v>
      </c>
      <c r="D7" s="14" t="s">
        <v>88</v>
      </c>
      <c r="E7" s="14" t="s">
        <v>68</v>
      </c>
      <c r="F7" s="15"/>
      <c r="G7" s="15">
        <f>SUMIFS(입금현황!$Y:$Y,입금현황!$A:$A,원장!$A7)</f>
        <v>1400000</v>
      </c>
      <c r="H7" s="17">
        <f t="shared" si="1"/>
        <v>1400000</v>
      </c>
      <c r="I7" s="16" t="s">
        <v>89</v>
      </c>
    </row>
    <row r="8" spans="1:9" x14ac:dyDescent="0.3">
      <c r="A8" s="10" t="str">
        <f t="shared" si="0"/>
        <v>24년 8월</v>
      </c>
      <c r="B8" s="10" t="str">
        <f>VLOOKUP(WEEKDAY(C8,2),참조!$A$1:$B$10,2,)</f>
        <v>토</v>
      </c>
      <c r="C8" s="14">
        <v>45535</v>
      </c>
      <c r="D8" s="14" t="s">
        <v>90</v>
      </c>
      <c r="E8" s="14" t="s">
        <v>72</v>
      </c>
      <c r="F8" s="15">
        <f>311200+100000</f>
        <v>411200</v>
      </c>
      <c r="G8" s="15"/>
      <c r="H8" s="17">
        <f t="shared" si="1"/>
        <v>-411200</v>
      </c>
      <c r="I8" s="16" t="s">
        <v>93</v>
      </c>
    </row>
    <row r="9" spans="1:9" x14ac:dyDescent="0.3">
      <c r="A9" s="10" t="str">
        <f t="shared" si="0"/>
        <v>24년 9월</v>
      </c>
      <c r="B9" s="10" t="str">
        <f>VLOOKUP(WEEKDAY(C9,2),참조!$A$1:$B$10,2,)</f>
        <v>일</v>
      </c>
      <c r="C9" s="14">
        <v>45536</v>
      </c>
      <c r="D9" s="14" t="s">
        <v>88</v>
      </c>
      <c r="E9" s="14" t="s">
        <v>68</v>
      </c>
      <c r="F9" s="15"/>
      <c r="G9" s="15">
        <f>SUMIFS(입금현황!$Y:$Y,입금현황!$A:$A,원장!$A9)</f>
        <v>1300000</v>
      </c>
      <c r="H9" s="17">
        <f t="shared" si="1"/>
        <v>1300000</v>
      </c>
      <c r="I9" s="16" t="s">
        <v>89</v>
      </c>
    </row>
    <row r="10" spans="1:9" x14ac:dyDescent="0.3">
      <c r="A10" s="10" t="str">
        <f t="shared" si="0"/>
        <v>24년 9월</v>
      </c>
      <c r="B10" s="10" t="str">
        <f>VLOOKUP(WEEKDAY(C10,2),참조!$A$1:$B$10,2,)</f>
        <v>토</v>
      </c>
      <c r="C10" s="14">
        <v>45563</v>
      </c>
      <c r="D10" s="14" t="s">
        <v>90</v>
      </c>
      <c r="E10" s="14" t="s">
        <v>72</v>
      </c>
      <c r="F10" s="15">
        <f>1662200+391600</f>
        <v>2053800</v>
      </c>
      <c r="G10" s="15"/>
      <c r="H10" s="17">
        <f t="shared" si="1"/>
        <v>-2053800</v>
      </c>
      <c r="I10" s="16" t="s">
        <v>94</v>
      </c>
    </row>
    <row r="11" spans="1:9" x14ac:dyDescent="0.3">
      <c r="A11" s="10" t="str">
        <f t="shared" si="0"/>
        <v>24년 10월</v>
      </c>
      <c r="B11" s="10" t="str">
        <f>VLOOKUP(WEEKDAY(C11,2),참조!$A$1:$B$10,2,)</f>
        <v>화</v>
      </c>
      <c r="C11" s="14">
        <v>45566</v>
      </c>
      <c r="D11" s="14" t="s">
        <v>88</v>
      </c>
      <c r="E11" s="14" t="s">
        <v>68</v>
      </c>
      <c r="F11" s="15"/>
      <c r="G11" s="15">
        <f>SUMIFS(입금현황!$Y:$Y,입금현황!$A:$A,원장!$A11)</f>
        <v>1300000</v>
      </c>
      <c r="H11" s="17">
        <f t="shared" si="1"/>
        <v>1300000</v>
      </c>
      <c r="I11" s="16" t="s">
        <v>89</v>
      </c>
    </row>
    <row r="12" spans="1:9" x14ac:dyDescent="0.3">
      <c r="A12" s="10" t="str">
        <f t="shared" si="0"/>
        <v>24년 10월</v>
      </c>
      <c r="B12" s="10" t="str">
        <f>VLOOKUP(WEEKDAY(C12,2),참조!$A$1:$B$10,2,)</f>
        <v>토</v>
      </c>
      <c r="C12" s="14">
        <v>45570</v>
      </c>
      <c r="D12" s="14" t="s">
        <v>90</v>
      </c>
      <c r="E12" s="14" t="s">
        <v>74</v>
      </c>
      <c r="F12" s="15">
        <v>1000000</v>
      </c>
      <c r="G12" s="15"/>
      <c r="H12" s="17">
        <f t="shared" si="1"/>
        <v>-1000000</v>
      </c>
      <c r="I12" s="16" t="s">
        <v>95</v>
      </c>
    </row>
    <row r="13" spans="1:9" x14ac:dyDescent="0.3">
      <c r="A13" s="10" t="str">
        <f t="shared" si="0"/>
        <v>24년 10월</v>
      </c>
      <c r="B13" s="10" t="str">
        <f>VLOOKUP(WEEKDAY(C13,2),참조!$A$1:$B$10,2,)</f>
        <v>토</v>
      </c>
      <c r="C13" s="14">
        <v>45591</v>
      </c>
      <c r="D13" s="14" t="s">
        <v>90</v>
      </c>
      <c r="E13" s="14" t="s">
        <v>72</v>
      </c>
      <c r="F13" s="15">
        <v>573000</v>
      </c>
      <c r="G13" s="15"/>
      <c r="H13" s="17">
        <f t="shared" si="1"/>
        <v>-573000</v>
      </c>
      <c r="I13" s="16" t="s">
        <v>96</v>
      </c>
    </row>
    <row r="14" spans="1:9" x14ac:dyDescent="0.3">
      <c r="A14" s="10" t="str">
        <f t="shared" si="0"/>
        <v>24년 11월</v>
      </c>
      <c r="B14" s="10" t="str">
        <f>VLOOKUP(WEEKDAY(C14,2),참조!$A$1:$B$10,2,)</f>
        <v>금</v>
      </c>
      <c r="C14" s="14">
        <v>45597</v>
      </c>
      <c r="D14" s="14" t="s">
        <v>88</v>
      </c>
      <c r="E14" s="14" t="s">
        <v>68</v>
      </c>
      <c r="F14" s="15"/>
      <c r="G14" s="15">
        <f>SUMIFS(입금현황!$Y:$Y,입금현황!$A:$A,원장!$A14)</f>
        <v>1300000</v>
      </c>
      <c r="H14" s="17">
        <f t="shared" si="1"/>
        <v>1300000</v>
      </c>
      <c r="I14" s="16" t="s">
        <v>89</v>
      </c>
    </row>
    <row r="15" spans="1:9" x14ac:dyDescent="0.3">
      <c r="A15" s="10" t="str">
        <f t="shared" si="0"/>
        <v>24년 11월</v>
      </c>
      <c r="B15" s="10" t="str">
        <f>VLOOKUP(WEEKDAY(C15,2),참조!$A$1:$B$10,2,)</f>
        <v>금</v>
      </c>
      <c r="C15" s="14">
        <v>45611</v>
      </c>
      <c r="D15" s="14" t="s">
        <v>90</v>
      </c>
      <c r="E15" s="14" t="s">
        <v>74</v>
      </c>
      <c r="F15" s="15">
        <v>92100</v>
      </c>
      <c r="G15" s="15"/>
      <c r="H15" s="17">
        <f t="shared" si="1"/>
        <v>-92100</v>
      </c>
      <c r="I15" s="16" t="s">
        <v>97</v>
      </c>
    </row>
    <row r="16" spans="1:9" x14ac:dyDescent="0.3">
      <c r="A16" s="10" t="str">
        <f t="shared" si="0"/>
        <v>24년 11월</v>
      </c>
      <c r="B16" s="10" t="str">
        <f>VLOOKUP(WEEKDAY(C16,2),참조!$A$1:$B$10,2,)</f>
        <v>토</v>
      </c>
      <c r="C16" s="14">
        <v>45626</v>
      </c>
      <c r="D16" s="14" t="s">
        <v>90</v>
      </c>
      <c r="E16" s="14" t="s">
        <v>72</v>
      </c>
      <c r="F16" s="15">
        <f>136310+358000+71500</f>
        <v>565810</v>
      </c>
      <c r="G16" s="15"/>
      <c r="H16" s="17">
        <f t="shared" si="1"/>
        <v>-565810</v>
      </c>
      <c r="I16" s="16" t="s">
        <v>98</v>
      </c>
    </row>
    <row r="17" spans="1:9" x14ac:dyDescent="0.3">
      <c r="A17" s="10" t="str">
        <f t="shared" si="0"/>
        <v>24년 12월</v>
      </c>
      <c r="B17" s="10" t="str">
        <f>VLOOKUP(WEEKDAY(C17,2),참조!$A$1:$B$10,2,)</f>
        <v>일</v>
      </c>
      <c r="C17" s="14">
        <v>45627</v>
      </c>
      <c r="D17" s="14" t="s">
        <v>88</v>
      </c>
      <c r="E17" s="14" t="s">
        <v>68</v>
      </c>
      <c r="F17" s="15"/>
      <c r="G17" s="15">
        <f>SUMIFS(입금현황!$Y:$Y,입금현황!$A:$A,원장!$A17)</f>
        <v>1600000</v>
      </c>
      <c r="H17" s="17">
        <f t="shared" si="1"/>
        <v>1600000</v>
      </c>
      <c r="I17" s="16" t="s">
        <v>89</v>
      </c>
    </row>
    <row r="18" spans="1:9" x14ac:dyDescent="0.3">
      <c r="A18" s="10" t="str">
        <f t="shared" si="0"/>
        <v>24년 12월</v>
      </c>
      <c r="B18" s="10" t="str">
        <f>VLOOKUP(WEEKDAY(C18,2),참조!$A$1:$B$10,2,)</f>
        <v>토</v>
      </c>
      <c r="C18" s="14">
        <v>45654</v>
      </c>
      <c r="D18" s="14" t="s">
        <v>90</v>
      </c>
      <c r="E18" s="14" t="s">
        <v>72</v>
      </c>
      <c r="F18" s="15">
        <v>1627000</v>
      </c>
      <c r="G18" s="15"/>
      <c r="H18" s="17">
        <f t="shared" si="1"/>
        <v>-1627000</v>
      </c>
      <c r="I18" s="16" t="s">
        <v>98</v>
      </c>
    </row>
    <row r="19" spans="1:9" x14ac:dyDescent="0.3">
      <c r="A19" s="10" t="str">
        <f t="shared" si="0"/>
        <v>24년 12월</v>
      </c>
      <c r="B19" s="10" t="str">
        <f>VLOOKUP(WEEKDAY(C19,2),참조!$A$1:$B$10,2,)</f>
        <v>일</v>
      </c>
      <c r="C19" s="14">
        <v>45655</v>
      </c>
      <c r="D19" s="14" t="s">
        <v>90</v>
      </c>
      <c r="E19" s="14" t="s">
        <v>74</v>
      </c>
      <c r="F19" s="15">
        <v>1000000</v>
      </c>
      <c r="G19" s="15"/>
      <c r="H19" s="17">
        <f t="shared" si="1"/>
        <v>-1000000</v>
      </c>
      <c r="I19" s="16" t="s">
        <v>99</v>
      </c>
    </row>
    <row r="20" spans="1:9" x14ac:dyDescent="0.3">
      <c r="A20" s="10" t="str">
        <f t="shared" si="0"/>
        <v>24년 12월</v>
      </c>
      <c r="B20" s="10" t="str">
        <f>VLOOKUP(WEEKDAY(C20,2),참조!$A$1:$B$10,2,)</f>
        <v>화</v>
      </c>
      <c r="C20" s="14">
        <v>45657</v>
      </c>
      <c r="D20" s="14" t="s">
        <v>88</v>
      </c>
      <c r="E20" s="14" t="s">
        <v>70</v>
      </c>
      <c r="F20" s="15"/>
      <c r="G20" s="15">
        <f>46+118+158+264+144+150+258+300</f>
        <v>1438</v>
      </c>
      <c r="H20" s="17">
        <f t="shared" si="1"/>
        <v>1438</v>
      </c>
      <c r="I20" s="16" t="s">
        <v>100</v>
      </c>
    </row>
    <row r="21" spans="1:9" x14ac:dyDescent="0.3">
      <c r="A21" s="10" t="str">
        <f t="shared" si="0"/>
        <v>25년 1월</v>
      </c>
      <c r="B21" s="10" t="str">
        <f>VLOOKUP(WEEKDAY(C21,2),참조!$A$1:$B$10,2,)</f>
        <v>수</v>
      </c>
      <c r="C21" s="14">
        <v>45658</v>
      </c>
      <c r="D21" s="14" t="s">
        <v>88</v>
      </c>
      <c r="E21" s="14" t="s">
        <v>68</v>
      </c>
      <c r="F21" s="15"/>
      <c r="G21" s="15">
        <f>SUMIFS(입금현황!$Y:$Y,입금현황!$A:$A,원장!$A21)</f>
        <v>1700000</v>
      </c>
      <c r="H21" s="17">
        <f t="shared" si="1"/>
        <v>1700000</v>
      </c>
      <c r="I21" s="16" t="s">
        <v>89</v>
      </c>
    </row>
    <row r="22" spans="1:9" x14ac:dyDescent="0.3">
      <c r="A22" s="10" t="str">
        <f t="shared" si="0"/>
        <v>25년 1월</v>
      </c>
      <c r="B22" s="10" t="str">
        <f>VLOOKUP(WEEKDAY(C22,2),참조!$A$1:$B$10,2,)</f>
        <v>토</v>
      </c>
      <c r="C22" s="14">
        <v>45675</v>
      </c>
      <c r="D22" s="14" t="s">
        <v>90</v>
      </c>
      <c r="E22" s="14" t="s">
        <v>72</v>
      </c>
      <c r="F22" s="15">
        <v>582400</v>
      </c>
      <c r="G22" s="15"/>
      <c r="H22" s="17">
        <f t="shared" si="1"/>
        <v>-582400</v>
      </c>
      <c r="I22" s="16" t="s">
        <v>101</v>
      </c>
    </row>
    <row r="23" spans="1:9" x14ac:dyDescent="0.3">
      <c r="A23" s="10" t="str">
        <f t="shared" si="0"/>
        <v>25년 1월</v>
      </c>
      <c r="B23" s="10" t="str">
        <f>VLOOKUP(WEEKDAY(C23,2),참조!$A$1:$B$10,2,)</f>
        <v>토</v>
      </c>
      <c r="C23" s="14">
        <v>45675</v>
      </c>
      <c r="D23" s="14" t="s">
        <v>90</v>
      </c>
      <c r="E23" s="14" t="s">
        <v>72</v>
      </c>
      <c r="F23" s="15">
        <v>284900</v>
      </c>
      <c r="G23" s="15"/>
      <c r="H23" s="17">
        <f t="shared" si="1"/>
        <v>-284900</v>
      </c>
      <c r="I23" s="16" t="s">
        <v>102</v>
      </c>
    </row>
    <row r="24" spans="1:9" x14ac:dyDescent="0.3">
      <c r="A24" s="10" t="str">
        <f t="shared" si="0"/>
        <v>25년 1월</v>
      </c>
      <c r="B24" s="10" t="str">
        <f>VLOOKUP(WEEKDAY(C24,2),참조!$A$1:$B$10,2,)</f>
        <v>금</v>
      </c>
      <c r="C24" s="14">
        <v>45688</v>
      </c>
      <c r="D24" s="14" t="s">
        <v>90</v>
      </c>
      <c r="E24" s="14" t="s">
        <v>74</v>
      </c>
      <c r="F24" s="15">
        <v>400000</v>
      </c>
      <c r="G24" s="15"/>
      <c r="H24" s="17">
        <f t="shared" si="1"/>
        <v>-400000</v>
      </c>
      <c r="I24" s="16" t="s">
        <v>103</v>
      </c>
    </row>
    <row r="25" spans="1:9" x14ac:dyDescent="0.3">
      <c r="A25" s="10" t="str">
        <f t="shared" si="0"/>
        <v>25년 1월</v>
      </c>
      <c r="B25" s="10" t="str">
        <f>VLOOKUP(WEEKDAY(C25,2),참조!$A$1:$B$10,2,)</f>
        <v>금</v>
      </c>
      <c r="C25" s="14">
        <v>45688</v>
      </c>
      <c r="D25" s="14" t="s">
        <v>88</v>
      </c>
      <c r="E25" s="14" t="s">
        <v>70</v>
      </c>
      <c r="F25" s="15"/>
      <c r="G25" s="15">
        <v>166</v>
      </c>
      <c r="H25" s="17">
        <f t="shared" si="1"/>
        <v>166</v>
      </c>
      <c r="I25" s="16" t="s">
        <v>104</v>
      </c>
    </row>
    <row r="26" spans="1:9" x14ac:dyDescent="0.3">
      <c r="A26" s="10" t="str">
        <f t="shared" si="0"/>
        <v>25년 2월</v>
      </c>
      <c r="B26" s="10" t="str">
        <f>VLOOKUP(WEEKDAY(C26,2),참조!$A$1:$B$10,2,)</f>
        <v>토</v>
      </c>
      <c r="C26" s="14">
        <v>45689</v>
      </c>
      <c r="D26" s="14" t="s">
        <v>88</v>
      </c>
      <c r="E26" s="14" t="s">
        <v>68</v>
      </c>
      <c r="F26" s="15"/>
      <c r="G26" s="15">
        <f>SUMIFS(입금현황!$Y:$Y,입금현황!$A:$A,원장!$A26)</f>
        <v>1700000</v>
      </c>
      <c r="H26" s="17">
        <f t="shared" si="1"/>
        <v>1700000</v>
      </c>
      <c r="I26" s="16" t="s">
        <v>89</v>
      </c>
    </row>
    <row r="27" spans="1:9" x14ac:dyDescent="0.3">
      <c r="A27" s="10" t="str">
        <f t="shared" si="0"/>
        <v>25년 2월</v>
      </c>
      <c r="B27" s="10" t="str">
        <f>VLOOKUP(WEEKDAY(C27,2),참조!$A$1:$B$10,2,)</f>
        <v>토</v>
      </c>
      <c r="C27" s="14">
        <v>45710</v>
      </c>
      <c r="D27" s="14" t="s">
        <v>90</v>
      </c>
      <c r="E27" s="14" t="s">
        <v>72</v>
      </c>
      <c r="F27" s="15">
        <v>180000</v>
      </c>
      <c r="G27" s="15"/>
      <c r="H27" s="17">
        <f t="shared" si="1"/>
        <v>-180000</v>
      </c>
      <c r="I27" s="16" t="s">
        <v>105</v>
      </c>
    </row>
    <row r="28" spans="1:9" x14ac:dyDescent="0.3">
      <c r="A28" s="10" t="str">
        <f t="shared" si="0"/>
        <v>25년 2월</v>
      </c>
      <c r="B28" s="10" t="str">
        <f>VLOOKUP(WEEKDAY(C28,2),참조!$A$1:$B$10,2,)</f>
        <v>토</v>
      </c>
      <c r="C28" s="14">
        <v>45710</v>
      </c>
      <c r="D28" s="14" t="s">
        <v>90</v>
      </c>
      <c r="E28" s="14" t="s">
        <v>72</v>
      </c>
      <c r="F28" s="15">
        <v>110800</v>
      </c>
      <c r="G28" s="15"/>
      <c r="H28" s="17">
        <f t="shared" si="1"/>
        <v>-110800</v>
      </c>
      <c r="I28" s="16" t="s">
        <v>106</v>
      </c>
    </row>
    <row r="29" spans="1:9" x14ac:dyDescent="0.3">
      <c r="A29" s="10" t="str">
        <f t="shared" si="0"/>
        <v>25년 2월</v>
      </c>
      <c r="B29" s="10" t="str">
        <f>VLOOKUP(WEEKDAY(C29,2),참조!$A$1:$B$10,2,)</f>
        <v>토</v>
      </c>
      <c r="C29" s="14">
        <v>45710</v>
      </c>
      <c r="D29" s="14" t="s">
        <v>90</v>
      </c>
      <c r="E29" s="14" t="s">
        <v>72</v>
      </c>
      <c r="F29" s="15">
        <v>30000</v>
      </c>
      <c r="G29" s="15"/>
      <c r="H29" s="17">
        <f t="shared" si="1"/>
        <v>-30000</v>
      </c>
      <c r="I29" s="16" t="s">
        <v>107</v>
      </c>
    </row>
    <row r="30" spans="1:9" x14ac:dyDescent="0.3">
      <c r="A30" s="10" t="str">
        <f t="shared" si="0"/>
        <v>25년 2월</v>
      </c>
      <c r="B30" s="10" t="str">
        <f>VLOOKUP(WEEKDAY(C30,2),참조!$A$1:$B$10,2,)</f>
        <v>금</v>
      </c>
      <c r="C30" s="14">
        <v>45716</v>
      </c>
      <c r="D30" s="14" t="s">
        <v>90</v>
      </c>
      <c r="E30" s="14" t="s">
        <v>74</v>
      </c>
      <c r="F30" s="15">
        <v>100000</v>
      </c>
      <c r="G30" s="15"/>
      <c r="H30" s="17">
        <f t="shared" si="1"/>
        <v>-100000</v>
      </c>
      <c r="I30" s="16" t="s">
        <v>108</v>
      </c>
    </row>
    <row r="31" spans="1:9" x14ac:dyDescent="0.3">
      <c r="A31" s="10" t="str">
        <f t="shared" si="0"/>
        <v>25년 2월</v>
      </c>
      <c r="B31" s="10" t="str">
        <f>VLOOKUP(WEEKDAY(C31,2),참조!$A$1:$B$10,2,)</f>
        <v>금</v>
      </c>
      <c r="C31" s="14">
        <v>45716</v>
      </c>
      <c r="D31" s="14" t="s">
        <v>88</v>
      </c>
      <c r="E31" s="14" t="s">
        <v>70</v>
      </c>
      <c r="F31" s="15"/>
      <c r="G31" s="15">
        <v>266</v>
      </c>
      <c r="H31" s="17">
        <f t="shared" si="1"/>
        <v>266</v>
      </c>
      <c r="I31" s="16" t="s">
        <v>104</v>
      </c>
    </row>
    <row r="32" spans="1:9" x14ac:dyDescent="0.3">
      <c r="A32" s="10" t="str">
        <f t="shared" si="0"/>
        <v>25년 3월</v>
      </c>
      <c r="B32" s="10" t="str">
        <f>VLOOKUP(WEEKDAY(C32,2),참조!$A$1:$B$10,2,)</f>
        <v>토</v>
      </c>
      <c r="C32" s="14">
        <v>45717</v>
      </c>
      <c r="D32" s="14" t="s">
        <v>88</v>
      </c>
      <c r="E32" s="14" t="s">
        <v>68</v>
      </c>
      <c r="F32" s="15"/>
      <c r="G32" s="15">
        <f>SUMIFS(입금현황!$Y:$Y,입금현황!$A:$A,원장!$A32)</f>
        <v>1700000</v>
      </c>
      <c r="H32" s="17">
        <f t="shared" si="1"/>
        <v>1700000</v>
      </c>
      <c r="I32" s="16" t="s">
        <v>89</v>
      </c>
    </row>
    <row r="33" spans="1:9" x14ac:dyDescent="0.3">
      <c r="A33" s="10" t="str">
        <f t="shared" si="0"/>
        <v>25년 3월</v>
      </c>
      <c r="B33" s="10" t="str">
        <f>VLOOKUP(WEEKDAY(C33,2),참조!$A$1:$B$10,2,)</f>
        <v>월</v>
      </c>
      <c r="C33" s="14">
        <v>45726</v>
      </c>
      <c r="D33" s="14" t="s">
        <v>90</v>
      </c>
      <c r="E33" s="14" t="s">
        <v>72</v>
      </c>
      <c r="F33" s="15">
        <v>90000</v>
      </c>
      <c r="G33" s="15">
        <f>-6500*3</f>
        <v>-19500</v>
      </c>
      <c r="H33" s="17">
        <f t="shared" si="1"/>
        <v>-109500</v>
      </c>
      <c r="I33" s="16" t="s">
        <v>109</v>
      </c>
    </row>
    <row r="34" spans="1:9" x14ac:dyDescent="0.3">
      <c r="A34" s="10" t="str">
        <f t="shared" si="0"/>
        <v>25년 3월</v>
      </c>
      <c r="B34" s="10" t="str">
        <f>VLOOKUP(WEEKDAY(C34,2),참조!$A$1:$B$10,2,)</f>
        <v>토</v>
      </c>
      <c r="C34" s="14">
        <v>45745</v>
      </c>
      <c r="D34" s="14" t="s">
        <v>90</v>
      </c>
      <c r="E34" s="14" t="s">
        <v>72</v>
      </c>
      <c r="F34" s="15">
        <v>480000</v>
      </c>
      <c r="G34" s="15"/>
      <c r="H34" s="17">
        <f t="shared" si="1"/>
        <v>-480000</v>
      </c>
      <c r="I34" s="16" t="s">
        <v>110</v>
      </c>
    </row>
    <row r="35" spans="1:9" x14ac:dyDescent="0.3">
      <c r="A35" s="10" t="str">
        <f t="shared" ref="A35:A66" si="2">RIGHT(YEAR(C35),2)&amp;"년 "&amp;MONTH(C35)&amp;"월"</f>
        <v>25년 3월</v>
      </c>
      <c r="B35" s="10" t="str">
        <f>VLOOKUP(WEEKDAY(C35,2),참조!$A$1:$B$10,2,)</f>
        <v>토</v>
      </c>
      <c r="C35" s="14">
        <v>45745</v>
      </c>
      <c r="D35" s="14" t="s">
        <v>90</v>
      </c>
      <c r="E35" s="14" t="s">
        <v>72</v>
      </c>
      <c r="F35" s="15">
        <v>497270</v>
      </c>
      <c r="G35" s="15"/>
      <c r="H35" s="17">
        <f t="shared" ref="H35:H66" si="3">G35-F35</f>
        <v>-497270</v>
      </c>
      <c r="I35" s="16" t="s">
        <v>111</v>
      </c>
    </row>
    <row r="36" spans="1:9" x14ac:dyDescent="0.3">
      <c r="A36" s="10" t="str">
        <f t="shared" si="2"/>
        <v>25년 3월</v>
      </c>
      <c r="B36" s="10" t="str">
        <f>VLOOKUP(WEEKDAY(C36,2),참조!$A$1:$B$10,2,)</f>
        <v>토</v>
      </c>
      <c r="C36" s="14">
        <v>45745</v>
      </c>
      <c r="D36" s="14" t="s">
        <v>88</v>
      </c>
      <c r="E36" s="14" t="s">
        <v>70</v>
      </c>
      <c r="F36" s="15"/>
      <c r="G36" s="15">
        <v>253</v>
      </c>
      <c r="H36" s="17">
        <f t="shared" si="3"/>
        <v>253</v>
      </c>
      <c r="I36" s="16" t="s">
        <v>104</v>
      </c>
    </row>
    <row r="37" spans="1:9" x14ac:dyDescent="0.3">
      <c r="A37" s="10" t="str">
        <f t="shared" si="2"/>
        <v>25년 4월</v>
      </c>
      <c r="B37" s="10" t="str">
        <f>VLOOKUP(WEEKDAY(C37,2),참조!$A$1:$B$10,2,)</f>
        <v>화</v>
      </c>
      <c r="C37" s="14">
        <v>45748</v>
      </c>
      <c r="D37" s="14" t="s">
        <v>88</v>
      </c>
      <c r="E37" s="14" t="s">
        <v>68</v>
      </c>
      <c r="F37" s="15"/>
      <c r="G37" s="15">
        <f>SUMIFS(입금현황!$Y:$Y,입금현황!$A:$A,원장!$A37)</f>
        <v>1700000</v>
      </c>
      <c r="H37" s="17">
        <f t="shared" si="3"/>
        <v>1700000</v>
      </c>
      <c r="I37" s="16" t="s">
        <v>89</v>
      </c>
    </row>
    <row r="38" spans="1:9" x14ac:dyDescent="0.3">
      <c r="A38" s="10" t="str">
        <f t="shared" si="2"/>
        <v>25년 4월</v>
      </c>
      <c r="B38" s="10" t="str">
        <f>VLOOKUP(WEEKDAY(C38,2),참조!$A$1:$B$10,2,)</f>
        <v>토</v>
      </c>
      <c r="C38" s="14">
        <v>45773</v>
      </c>
      <c r="D38" s="14" t="s">
        <v>90</v>
      </c>
      <c r="E38" s="14" t="s">
        <v>72</v>
      </c>
      <c r="F38" s="15">
        <v>1276000</v>
      </c>
      <c r="G38" s="15"/>
      <c r="H38" s="17">
        <f t="shared" si="3"/>
        <v>-1276000</v>
      </c>
      <c r="I38" s="16" t="s">
        <v>112</v>
      </c>
    </row>
    <row r="39" spans="1:9" x14ac:dyDescent="0.3">
      <c r="A39" s="10" t="str">
        <f t="shared" si="2"/>
        <v>25년 5월</v>
      </c>
      <c r="B39" s="10" t="str">
        <f>VLOOKUP(WEEKDAY(C39,2),참조!$A$1:$B$10,2,)</f>
        <v>목</v>
      </c>
      <c r="C39" s="14">
        <v>45778</v>
      </c>
      <c r="D39" s="14" t="s">
        <v>88</v>
      </c>
      <c r="E39" s="14" t="s">
        <v>68</v>
      </c>
      <c r="F39" s="15"/>
      <c r="G39" s="15">
        <f>SUMIFS(입금현황!$Y:$Y,입금현황!$A:$A,원장!$A39)</f>
        <v>1700000</v>
      </c>
      <c r="H39" s="17">
        <f t="shared" si="3"/>
        <v>1700000</v>
      </c>
      <c r="I39" s="16" t="s">
        <v>89</v>
      </c>
    </row>
    <row r="40" spans="1:9" x14ac:dyDescent="0.3">
      <c r="A40" s="10" t="str">
        <f t="shared" si="2"/>
        <v>25년 5월</v>
      </c>
      <c r="B40" s="10" t="str">
        <f>VLOOKUP(WEEKDAY(C40,2),참조!$A$1:$B$10,2,)</f>
        <v>토</v>
      </c>
      <c r="C40" s="14">
        <v>45808</v>
      </c>
      <c r="D40" s="14" t="s">
        <v>90</v>
      </c>
      <c r="E40" s="14" t="s">
        <v>74</v>
      </c>
      <c r="F40" s="15">
        <f>INT(607500/3)</f>
        <v>202500</v>
      </c>
      <c r="G40" s="15"/>
      <c r="H40" s="17">
        <f t="shared" si="3"/>
        <v>-202500</v>
      </c>
      <c r="I40" s="16" t="s">
        <v>113</v>
      </c>
    </row>
    <row r="41" spans="1:9" x14ac:dyDescent="0.3">
      <c r="A41" s="10" t="str">
        <f t="shared" si="2"/>
        <v>25년 5월</v>
      </c>
      <c r="B41" s="10" t="str">
        <f>VLOOKUP(WEEKDAY(C41,2),참조!$A$1:$B$10,2,)</f>
        <v>토</v>
      </c>
      <c r="C41" s="14">
        <v>45808</v>
      </c>
      <c r="D41" s="14" t="s">
        <v>90</v>
      </c>
      <c r="E41" s="14" t="s">
        <v>74</v>
      </c>
      <c r="F41" s="15">
        <f>INT(607500/3)</f>
        <v>202500</v>
      </c>
      <c r="G41" s="15"/>
      <c r="H41" s="17">
        <f t="shared" si="3"/>
        <v>-202500</v>
      </c>
      <c r="I41" s="16" t="s">
        <v>114</v>
      </c>
    </row>
    <row r="42" spans="1:9" x14ac:dyDescent="0.3">
      <c r="A42" s="10" t="str">
        <f t="shared" si="2"/>
        <v>25년 5월</v>
      </c>
      <c r="B42" s="10" t="str">
        <f>VLOOKUP(WEEKDAY(C42,2),참조!$A$1:$B$10,2,)</f>
        <v>토</v>
      </c>
      <c r="C42" s="14">
        <v>45808</v>
      </c>
      <c r="D42" s="14" t="s">
        <v>90</v>
      </c>
      <c r="E42" s="14" t="s">
        <v>74</v>
      </c>
      <c r="F42" s="15">
        <f>INT(607500/3)</f>
        <v>202500</v>
      </c>
      <c r="G42" s="15"/>
      <c r="H42" s="17">
        <f t="shared" si="3"/>
        <v>-202500</v>
      </c>
      <c r="I42" s="16" t="s">
        <v>115</v>
      </c>
    </row>
    <row r="43" spans="1:9" x14ac:dyDescent="0.3">
      <c r="A43" s="10" t="str">
        <f t="shared" si="2"/>
        <v>25년 5월</v>
      </c>
      <c r="B43" s="10" t="str">
        <f>VLOOKUP(WEEKDAY(C43,2),참조!$A$1:$B$10,2,)</f>
        <v>토</v>
      </c>
      <c r="C43" s="14">
        <v>45808</v>
      </c>
      <c r="D43" s="14" t="s">
        <v>90</v>
      </c>
      <c r="E43" s="14" t="s">
        <v>72</v>
      </c>
      <c r="F43" s="15">
        <v>1046000</v>
      </c>
      <c r="G43" s="15"/>
      <c r="H43" s="17">
        <f t="shared" si="3"/>
        <v>-1046000</v>
      </c>
      <c r="I43" s="16" t="s">
        <v>116</v>
      </c>
    </row>
    <row r="44" spans="1:9" x14ac:dyDescent="0.3">
      <c r="A44" s="10" t="str">
        <f t="shared" si="2"/>
        <v>25년 5월</v>
      </c>
      <c r="B44" s="10" t="str">
        <f>VLOOKUP(WEEKDAY(C44,2),참조!$A$1:$B$10,2,)</f>
        <v>토</v>
      </c>
      <c r="C44" s="14">
        <v>45808</v>
      </c>
      <c r="D44" s="14" t="s">
        <v>88</v>
      </c>
      <c r="E44" s="14" t="s">
        <v>70</v>
      </c>
      <c r="F44" s="15"/>
      <c r="G44" s="15">
        <v>944</v>
      </c>
      <c r="H44" s="17">
        <f t="shared" si="3"/>
        <v>944</v>
      </c>
      <c r="I44" s="16" t="s">
        <v>104</v>
      </c>
    </row>
    <row r="45" spans="1:9" x14ac:dyDescent="0.3">
      <c r="A45" s="10" t="str">
        <f t="shared" si="2"/>
        <v>25년 6월</v>
      </c>
      <c r="B45" s="10" t="str">
        <f>VLOOKUP(WEEKDAY(C45,2),참조!$A$1:$B$10,2,)</f>
        <v>일</v>
      </c>
      <c r="C45" s="14">
        <v>45809</v>
      </c>
      <c r="D45" s="14" t="s">
        <v>88</v>
      </c>
      <c r="E45" s="14" t="s">
        <v>68</v>
      </c>
      <c r="F45" s="15"/>
      <c r="G45" s="15">
        <f>SUMIFS(입금현황!$Y:$Y,입금현황!$A:$A,원장!$A45)</f>
        <v>1700000</v>
      </c>
      <c r="H45" s="17">
        <f t="shared" si="3"/>
        <v>1700000</v>
      </c>
      <c r="I45" s="16" t="s">
        <v>89</v>
      </c>
    </row>
    <row r="46" spans="1:9" x14ac:dyDescent="0.3">
      <c r="A46" s="10" t="str">
        <f t="shared" si="2"/>
        <v>25년 6월</v>
      </c>
      <c r="B46" s="10" t="str">
        <f>VLOOKUP(WEEKDAY(C46,2),참조!$A$1:$B$10,2,)</f>
        <v>월</v>
      </c>
      <c r="C46" s="14">
        <v>45838</v>
      </c>
      <c r="D46" s="14" t="s">
        <v>90</v>
      </c>
      <c r="E46" s="14" t="s">
        <v>72</v>
      </c>
      <c r="F46" s="15">
        <v>671400</v>
      </c>
      <c r="G46" s="15"/>
      <c r="H46" s="17">
        <f t="shared" si="3"/>
        <v>-671400</v>
      </c>
      <c r="I46" s="16" t="s">
        <v>117</v>
      </c>
    </row>
    <row r="47" spans="1:9" x14ac:dyDescent="0.3">
      <c r="A47" s="10" t="str">
        <f t="shared" si="2"/>
        <v>25년 6월</v>
      </c>
      <c r="B47" s="10" t="str">
        <f>VLOOKUP(WEEKDAY(C47,2),참조!$A$1:$B$10,2,)</f>
        <v>월</v>
      </c>
      <c r="C47" s="14">
        <v>45838</v>
      </c>
      <c r="D47" s="14" t="s">
        <v>90</v>
      </c>
      <c r="E47" s="14" t="s">
        <v>73</v>
      </c>
      <c r="F47" s="15">
        <v>870000</v>
      </c>
      <c r="G47" s="15"/>
      <c r="H47" s="17">
        <f t="shared" si="3"/>
        <v>-870000</v>
      </c>
      <c r="I47" s="16" t="s">
        <v>118</v>
      </c>
    </row>
    <row r="48" spans="1:9" x14ac:dyDescent="0.3">
      <c r="A48" s="10" t="str">
        <f t="shared" si="2"/>
        <v>25년 6월</v>
      </c>
      <c r="B48" s="10" t="str">
        <f>VLOOKUP(WEEKDAY(C48,2),참조!$A$1:$B$10,2,)</f>
        <v>월</v>
      </c>
      <c r="C48" s="14">
        <v>45838</v>
      </c>
      <c r="D48" s="14" t="s">
        <v>90</v>
      </c>
      <c r="E48" s="14" t="s">
        <v>72</v>
      </c>
      <c r="F48" s="15">
        <v>12000</v>
      </c>
      <c r="G48" s="15"/>
      <c r="H48" s="17">
        <f t="shared" si="3"/>
        <v>-12000</v>
      </c>
      <c r="I48" s="16" t="s">
        <v>119</v>
      </c>
    </row>
    <row r="49" spans="1:9" x14ac:dyDescent="0.3">
      <c r="A49" s="10" t="str">
        <f t="shared" si="2"/>
        <v>25년 6월</v>
      </c>
      <c r="B49" s="10" t="str">
        <f>VLOOKUP(WEEKDAY(C49,2),참조!$A$1:$B$10,2,)</f>
        <v>월</v>
      </c>
      <c r="C49" s="14">
        <v>45838</v>
      </c>
      <c r="D49" s="14" t="s">
        <v>90</v>
      </c>
      <c r="E49" s="14" t="s">
        <v>72</v>
      </c>
      <c r="F49" s="15">
        <v>150000</v>
      </c>
      <c r="G49" s="15"/>
      <c r="H49" s="17">
        <f t="shared" si="3"/>
        <v>-150000</v>
      </c>
      <c r="I49" s="16" t="s">
        <v>120</v>
      </c>
    </row>
    <row r="50" spans="1:9" x14ac:dyDescent="0.3">
      <c r="A50" s="10" t="str">
        <f t="shared" si="2"/>
        <v>25년 6월</v>
      </c>
      <c r="B50" s="10" t="str">
        <f>VLOOKUP(WEEKDAY(C50,2),참조!$A$1:$B$10,2,)</f>
        <v>월</v>
      </c>
      <c r="C50" s="14">
        <v>45838</v>
      </c>
      <c r="D50" s="14" t="s">
        <v>88</v>
      </c>
      <c r="E50" s="14" t="s">
        <v>70</v>
      </c>
      <c r="F50" s="15"/>
      <c r="G50" s="15">
        <v>426</v>
      </c>
      <c r="H50" s="17">
        <f t="shared" si="3"/>
        <v>426</v>
      </c>
      <c r="I50" s="16" t="s">
        <v>104</v>
      </c>
    </row>
    <row r="51" spans="1:9" x14ac:dyDescent="0.3">
      <c r="A51" s="10" t="str">
        <f t="shared" si="2"/>
        <v>25년 7월</v>
      </c>
      <c r="B51" s="10" t="str">
        <f>VLOOKUP(WEEKDAY(C51,2),참조!$A$1:$B$10,2,)</f>
        <v>화</v>
      </c>
      <c r="C51" s="14">
        <v>45839</v>
      </c>
      <c r="D51" s="14" t="s">
        <v>88</v>
      </c>
      <c r="E51" s="14" t="s">
        <v>68</v>
      </c>
      <c r="F51" s="15"/>
      <c r="G51" s="15">
        <f>SUMIFS(입금현황!$Y:$Y,입금현황!$A:$A,원장!$A51)</f>
        <v>1800000</v>
      </c>
      <c r="H51" s="17">
        <f t="shared" si="3"/>
        <v>1800000</v>
      </c>
      <c r="I51" s="16" t="s">
        <v>89</v>
      </c>
    </row>
    <row r="52" spans="1:9" x14ac:dyDescent="0.3">
      <c r="A52" s="10" t="str">
        <f t="shared" si="2"/>
        <v>25년 7월</v>
      </c>
      <c r="B52" s="10" t="str">
        <f>VLOOKUP(WEEKDAY(C52,2),참조!$A$1:$B$10,2,)</f>
        <v>수</v>
      </c>
      <c r="C52" s="14">
        <v>45868</v>
      </c>
      <c r="D52" s="14" t="s">
        <v>90</v>
      </c>
      <c r="E52" s="14" t="s">
        <v>72</v>
      </c>
      <c r="F52" s="15">
        <f>455500+11000+6000+3000+66000+66000+60500+50000</f>
        <v>718000</v>
      </c>
      <c r="G52" s="15"/>
      <c r="H52" s="17">
        <f t="shared" si="3"/>
        <v>-718000</v>
      </c>
      <c r="I52" s="16" t="s">
        <v>121</v>
      </c>
    </row>
    <row r="53" spans="1:9" x14ac:dyDescent="0.3">
      <c r="A53" s="10" t="str">
        <f t="shared" si="2"/>
        <v>25년 7월</v>
      </c>
      <c r="B53" s="10" t="str">
        <f>VLOOKUP(WEEKDAY(C53,2),참조!$A$1:$B$10,2,)</f>
        <v>수</v>
      </c>
      <c r="C53" s="14">
        <v>45868</v>
      </c>
      <c r="D53" s="14" t="s">
        <v>88</v>
      </c>
      <c r="E53" s="14" t="s">
        <v>70</v>
      </c>
      <c r="F53" s="15"/>
      <c r="G53" s="15">
        <v>671</v>
      </c>
      <c r="H53" s="17">
        <f t="shared" si="3"/>
        <v>671</v>
      </c>
      <c r="I53" s="16" t="s">
        <v>104</v>
      </c>
    </row>
    <row r="54" spans="1:9" x14ac:dyDescent="0.3">
      <c r="A54" s="10" t="str">
        <f t="shared" si="2"/>
        <v>25년 7월</v>
      </c>
      <c r="B54" s="10" t="str">
        <f>VLOOKUP(WEEKDAY(C54,2),참조!$A$1:$B$10,2,)</f>
        <v>수</v>
      </c>
      <c r="C54" s="14">
        <v>45868</v>
      </c>
      <c r="D54" s="14" t="s">
        <v>88</v>
      </c>
      <c r="E54" s="14" t="s">
        <v>69</v>
      </c>
      <c r="F54" s="15"/>
      <c r="G54" s="15">
        <v>10000</v>
      </c>
      <c r="H54" s="17">
        <f t="shared" si="3"/>
        <v>10000</v>
      </c>
      <c r="I54" s="16" t="s">
        <v>122</v>
      </c>
    </row>
    <row r="55" spans="1:9" x14ac:dyDescent="0.3">
      <c r="A55" s="10" t="str">
        <f t="shared" si="2"/>
        <v>25년 7월</v>
      </c>
      <c r="B55" s="10" t="str">
        <f>VLOOKUP(WEEKDAY(C55,2),참조!$A$1:$B$10,2,)</f>
        <v>수</v>
      </c>
      <c r="C55" s="14">
        <v>45868</v>
      </c>
      <c r="D55" s="14" t="s">
        <v>88</v>
      </c>
      <c r="E55" s="14" t="s">
        <v>69</v>
      </c>
      <c r="F55" s="15"/>
      <c r="G55" s="15">
        <v>20000</v>
      </c>
      <c r="H55" s="17">
        <f t="shared" si="3"/>
        <v>20000</v>
      </c>
      <c r="I55" s="16" t="s">
        <v>123</v>
      </c>
    </row>
    <row r="56" spans="1:9" x14ac:dyDescent="0.3">
      <c r="A56" s="10" t="str">
        <f t="shared" si="2"/>
        <v>25년 8월</v>
      </c>
      <c r="B56" s="10" t="str">
        <f>VLOOKUP(WEEKDAY(C56,2),참조!$A$1:$B$10,2,)</f>
        <v>금</v>
      </c>
      <c r="C56" s="14">
        <v>45870</v>
      </c>
      <c r="D56" s="14" t="s">
        <v>88</v>
      </c>
      <c r="E56" s="14" t="s">
        <v>68</v>
      </c>
      <c r="F56" s="15"/>
      <c r="G56" s="15">
        <f>SUMIFS(입금현황!$Y:$Y,입금현황!$A:$A,원장!$A56)</f>
        <v>1800000</v>
      </c>
      <c r="H56" s="17">
        <f t="shared" si="3"/>
        <v>1800000</v>
      </c>
      <c r="I56" s="16" t="s">
        <v>89</v>
      </c>
    </row>
    <row r="57" spans="1:9" x14ac:dyDescent="0.3">
      <c r="A57" s="10" t="str">
        <f t="shared" si="2"/>
        <v>25년 8월</v>
      </c>
      <c r="B57" s="10" t="str">
        <f>VLOOKUP(WEEKDAY(C57,2),참조!$A$1:$B$10,2,)</f>
        <v>토</v>
      </c>
      <c r="C57" s="14">
        <v>45899</v>
      </c>
      <c r="D57" s="14" t="s">
        <v>90</v>
      </c>
      <c r="E57" s="14" t="s">
        <v>72</v>
      </c>
      <c r="F57" s="15">
        <v>1679000</v>
      </c>
      <c r="G57" s="15"/>
      <c r="H57" s="17">
        <f t="shared" si="3"/>
        <v>-1679000</v>
      </c>
      <c r="I57" s="16" t="s">
        <v>124</v>
      </c>
    </row>
    <row r="58" spans="1:9" x14ac:dyDescent="0.3">
      <c r="A58" s="10" t="str">
        <f t="shared" si="2"/>
        <v>25년 8월</v>
      </c>
      <c r="B58" s="10" t="str">
        <f>VLOOKUP(WEEKDAY(C58,2),참조!$A$1:$B$10,2,)</f>
        <v>토</v>
      </c>
      <c r="C58" s="14">
        <v>45899</v>
      </c>
      <c r="D58" s="14" t="s">
        <v>88</v>
      </c>
      <c r="E58" s="14" t="s">
        <v>69</v>
      </c>
      <c r="F58" s="15"/>
      <c r="G58" s="15">
        <v>10000</v>
      </c>
      <c r="H58" s="17">
        <f t="shared" si="3"/>
        <v>10000</v>
      </c>
      <c r="I58" s="16" t="s">
        <v>125</v>
      </c>
    </row>
    <row r="59" spans="1:9" x14ac:dyDescent="0.3">
      <c r="A59" s="10" t="str">
        <f t="shared" si="2"/>
        <v>25년 8월</v>
      </c>
      <c r="B59" s="10" t="str">
        <f>VLOOKUP(WEEKDAY(C59,2),참조!$A$1:$B$10,2,)</f>
        <v>토</v>
      </c>
      <c r="C59" s="14">
        <v>45899</v>
      </c>
      <c r="D59" s="14" t="s">
        <v>88</v>
      </c>
      <c r="E59" s="14" t="s">
        <v>69</v>
      </c>
      <c r="F59" s="15"/>
      <c r="G59" s="15">
        <v>10000</v>
      </c>
      <c r="H59" s="17">
        <f t="shared" si="3"/>
        <v>10000</v>
      </c>
      <c r="I59" s="16" t="s">
        <v>126</v>
      </c>
    </row>
    <row r="60" spans="1:9" x14ac:dyDescent="0.3">
      <c r="A60" s="10" t="str">
        <f t="shared" si="2"/>
        <v>25년 8월</v>
      </c>
      <c r="B60" s="10" t="str">
        <f>VLOOKUP(WEEKDAY(C60,2),참조!$A$1:$B$10,2,)</f>
        <v>토</v>
      </c>
      <c r="C60" s="14">
        <v>45899</v>
      </c>
      <c r="D60" s="14" t="s">
        <v>88</v>
      </c>
      <c r="E60" s="14" t="s">
        <v>69</v>
      </c>
      <c r="F60" s="15"/>
      <c r="G60" s="15">
        <v>10000</v>
      </c>
      <c r="H60" s="17">
        <f t="shared" si="3"/>
        <v>10000</v>
      </c>
      <c r="I60" s="16" t="s">
        <v>127</v>
      </c>
    </row>
    <row r="61" spans="1:9" x14ac:dyDescent="0.3">
      <c r="A61" s="10" t="str">
        <f t="shared" si="2"/>
        <v>25년 8월</v>
      </c>
      <c r="B61" s="10" t="str">
        <f>VLOOKUP(WEEKDAY(C61,2),참조!$A$1:$B$10,2,)</f>
        <v>토</v>
      </c>
      <c r="C61" s="14">
        <v>45899</v>
      </c>
      <c r="D61" s="14" t="s">
        <v>88</v>
      </c>
      <c r="E61" s="14" t="s">
        <v>69</v>
      </c>
      <c r="F61" s="15"/>
      <c r="G61" s="15">
        <v>10000</v>
      </c>
      <c r="H61" s="17">
        <f t="shared" si="3"/>
        <v>10000</v>
      </c>
      <c r="I61" s="16" t="s">
        <v>128</v>
      </c>
    </row>
    <row r="62" spans="1:9" x14ac:dyDescent="0.3">
      <c r="A62" s="10" t="str">
        <f t="shared" si="2"/>
        <v>25년 8월</v>
      </c>
      <c r="B62" s="10" t="str">
        <f>VLOOKUP(WEEKDAY(C62,2),참조!$A$1:$B$10,2,)</f>
        <v>토</v>
      </c>
      <c r="C62" s="14">
        <v>45899</v>
      </c>
      <c r="D62" s="14" t="s">
        <v>90</v>
      </c>
      <c r="E62" s="14" t="s">
        <v>75</v>
      </c>
      <c r="F62" s="15">
        <f>1000000+337350</f>
        <v>1337350</v>
      </c>
      <c r="G62" s="15"/>
      <c r="H62" s="17">
        <f t="shared" si="3"/>
        <v>-1337350</v>
      </c>
      <c r="I62" s="16" t="s">
        <v>8</v>
      </c>
    </row>
    <row r="63" spans="1:9" x14ac:dyDescent="0.3">
      <c r="A63" s="10" t="str">
        <f t="shared" si="2"/>
        <v>25년 8월</v>
      </c>
      <c r="B63" s="10" t="str">
        <f>VLOOKUP(WEEKDAY(C63,2),참조!$A$1:$B$10,2,)</f>
        <v>토</v>
      </c>
      <c r="C63" s="14">
        <v>45899</v>
      </c>
      <c r="D63" s="14" t="s">
        <v>88</v>
      </c>
      <c r="E63" s="14" t="s">
        <v>70</v>
      </c>
      <c r="F63" s="15"/>
      <c r="G63" s="15">
        <v>737</v>
      </c>
      <c r="H63" s="17">
        <f t="shared" si="3"/>
        <v>737</v>
      </c>
      <c r="I63" s="16" t="s">
        <v>104</v>
      </c>
    </row>
    <row r="64" spans="1:9" x14ac:dyDescent="0.3">
      <c r="A64" s="10" t="str">
        <f t="shared" si="2"/>
        <v>25년 9월</v>
      </c>
      <c r="B64" s="10" t="str">
        <f>VLOOKUP(WEEKDAY(C64,2),참조!$A$1:$B$10,2,)</f>
        <v>월</v>
      </c>
      <c r="C64" s="14">
        <v>45901</v>
      </c>
      <c r="D64" s="14" t="s">
        <v>88</v>
      </c>
      <c r="E64" s="14" t="s">
        <v>68</v>
      </c>
      <c r="F64" s="15"/>
      <c r="G64" s="15">
        <f>SUMIFS(입금현황!$Y:$Y,입금현황!$A:$A,원장!$A64)</f>
        <v>1800000</v>
      </c>
      <c r="H64" s="17">
        <f t="shared" si="3"/>
        <v>1800000</v>
      </c>
      <c r="I64" s="16" t="s">
        <v>89</v>
      </c>
    </row>
    <row r="65" spans="1:9" x14ac:dyDescent="0.3">
      <c r="A65" s="10" t="str">
        <f t="shared" si="2"/>
        <v>25년 9월</v>
      </c>
      <c r="B65" s="10" t="str">
        <f>VLOOKUP(WEEKDAY(C65,2),참조!$A$1:$B$10,2,)</f>
        <v>목</v>
      </c>
      <c r="C65" s="14">
        <v>45918</v>
      </c>
      <c r="D65" s="14" t="s">
        <v>90</v>
      </c>
      <c r="E65" s="14" t="s">
        <v>74</v>
      </c>
      <c r="F65" s="15">
        <v>222800</v>
      </c>
      <c r="G65" s="15"/>
      <c r="H65" s="17">
        <f t="shared" si="3"/>
        <v>-222800</v>
      </c>
      <c r="I65" s="16" t="s">
        <v>6</v>
      </c>
    </row>
    <row r="66" spans="1:9" x14ac:dyDescent="0.3">
      <c r="A66" s="10" t="str">
        <f t="shared" si="2"/>
        <v>25년 9월</v>
      </c>
      <c r="B66" s="10" t="str">
        <f>VLOOKUP(WEEKDAY(C66,2),참조!$A$1:$B$10,2,)</f>
        <v>화</v>
      </c>
      <c r="C66" s="14">
        <v>45930</v>
      </c>
      <c r="D66" s="14" t="s">
        <v>90</v>
      </c>
      <c r="E66" s="14" t="s">
        <v>74</v>
      </c>
      <c r="F66" s="15">
        <v>400000</v>
      </c>
      <c r="G66" s="15"/>
      <c r="H66" s="17">
        <f t="shared" si="3"/>
        <v>-400000</v>
      </c>
      <c r="I66" s="16" t="s">
        <v>6</v>
      </c>
    </row>
    <row r="67" spans="1:9" x14ac:dyDescent="0.3">
      <c r="A67" s="10" t="str">
        <f t="shared" ref="A67:A102" si="4">RIGHT(YEAR(C67),2)&amp;"년 "&amp;MONTH(C67)&amp;"월"</f>
        <v>25년 9월</v>
      </c>
      <c r="B67" s="10" t="str">
        <f>VLOOKUP(WEEKDAY(C67,2),참조!$A$1:$B$10,2,)</f>
        <v>화</v>
      </c>
      <c r="C67" s="14">
        <v>45930</v>
      </c>
      <c r="D67" s="14" t="s">
        <v>90</v>
      </c>
      <c r="E67" s="14" t="s">
        <v>72</v>
      </c>
      <c r="F67" s="15">
        <v>508770</v>
      </c>
      <c r="G67" s="15"/>
      <c r="H67" s="17">
        <f t="shared" ref="H67:H102" si="5">G67-F67</f>
        <v>-508770</v>
      </c>
      <c r="I67" s="16" t="s">
        <v>129</v>
      </c>
    </row>
    <row r="68" spans="1:9" x14ac:dyDescent="0.3">
      <c r="A68" s="10" t="str">
        <f t="shared" si="4"/>
        <v>25년 9월</v>
      </c>
      <c r="B68" s="10" t="str">
        <f>VLOOKUP(WEEKDAY(C68,2),참조!$A$1:$B$10,2,)</f>
        <v>화</v>
      </c>
      <c r="C68" s="14">
        <v>45930</v>
      </c>
      <c r="D68" s="14" t="s">
        <v>90</v>
      </c>
      <c r="E68" s="14" t="s">
        <v>73</v>
      </c>
      <c r="F68" s="15">
        <v>1000000</v>
      </c>
      <c r="G68" s="15"/>
      <c r="H68" s="17">
        <f t="shared" si="5"/>
        <v>-1000000</v>
      </c>
      <c r="I68" s="16" t="s">
        <v>130</v>
      </c>
    </row>
    <row r="69" spans="1:9" x14ac:dyDescent="0.3">
      <c r="A69" s="10" t="str">
        <f t="shared" si="4"/>
        <v>25년 9월</v>
      </c>
      <c r="B69" s="10" t="str">
        <f>VLOOKUP(WEEKDAY(C69,2),참조!$A$1:$B$10,2,)</f>
        <v>화</v>
      </c>
      <c r="C69" s="14">
        <v>45930</v>
      </c>
      <c r="D69" s="14" t="s">
        <v>88</v>
      </c>
      <c r="E69" s="14" t="s">
        <v>70</v>
      </c>
      <c r="F69" s="15"/>
      <c r="G69" s="15">
        <v>436</v>
      </c>
      <c r="H69" s="17">
        <f t="shared" si="5"/>
        <v>436</v>
      </c>
      <c r="I69" s="16" t="s">
        <v>104</v>
      </c>
    </row>
    <row r="70" spans="1:9" x14ac:dyDescent="0.3">
      <c r="A70" s="10" t="str">
        <f t="shared" si="4"/>
        <v>25년 10월</v>
      </c>
      <c r="B70" s="10" t="str">
        <f>VLOOKUP(WEEKDAY(C70,2),참조!$A$1:$B$10,2,)</f>
        <v>수</v>
      </c>
      <c r="C70" s="14">
        <v>45931</v>
      </c>
      <c r="D70" s="14" t="s">
        <v>88</v>
      </c>
      <c r="E70" s="14" t="s">
        <v>68</v>
      </c>
      <c r="F70" s="15"/>
      <c r="G70" s="15">
        <f>SUMIFS(입금현황!$Y:$Y,입금현황!$A:$A,원장!$A70)</f>
        <v>1800000</v>
      </c>
      <c r="H70" s="17">
        <f t="shared" si="5"/>
        <v>1800000</v>
      </c>
      <c r="I70" s="16" t="s">
        <v>89</v>
      </c>
    </row>
    <row r="71" spans="1:9" x14ac:dyDescent="0.3">
      <c r="A71" s="10" t="str">
        <f t="shared" si="4"/>
        <v>25년 10월</v>
      </c>
      <c r="B71" s="10" t="str">
        <f>VLOOKUP(WEEKDAY(C71,2),참조!$A$1:$B$10,2,)</f>
        <v>일</v>
      </c>
      <c r="C71" s="14">
        <v>45956</v>
      </c>
      <c r="D71" s="14" t="s">
        <v>90</v>
      </c>
      <c r="E71" s="14" t="s">
        <v>72</v>
      </c>
      <c r="F71" s="15">
        <v>848000</v>
      </c>
      <c r="G71" s="15"/>
      <c r="H71" s="17">
        <f t="shared" si="5"/>
        <v>-848000</v>
      </c>
      <c r="I71" s="16" t="s">
        <v>16</v>
      </c>
    </row>
    <row r="72" spans="1:9" x14ac:dyDescent="0.3">
      <c r="A72" s="10" t="str">
        <f t="shared" si="4"/>
        <v>25년 10월</v>
      </c>
      <c r="B72" s="10" t="str">
        <f>VLOOKUP(WEEKDAY(C72,2),참조!$A$1:$B$10,2,)</f>
        <v>목</v>
      </c>
      <c r="C72" s="14">
        <v>45960</v>
      </c>
      <c r="D72" s="14" t="s">
        <v>88</v>
      </c>
      <c r="E72" s="14" t="s">
        <v>70</v>
      </c>
      <c r="F72" s="15"/>
      <c r="G72" s="15">
        <v>332</v>
      </c>
      <c r="H72" s="17">
        <f t="shared" si="5"/>
        <v>332</v>
      </c>
      <c r="I72" s="16" t="s">
        <v>104</v>
      </c>
    </row>
    <row r="73" spans="1:9" x14ac:dyDescent="0.3">
      <c r="A73" s="10" t="str">
        <f t="shared" si="4"/>
        <v>25년 11월</v>
      </c>
      <c r="B73" s="10" t="str">
        <f>VLOOKUP(WEEKDAY(C73,2),참조!$A$1:$B$10,2,)</f>
        <v>토</v>
      </c>
      <c r="C73" s="14">
        <v>45962</v>
      </c>
      <c r="D73" s="14" t="s">
        <v>88</v>
      </c>
      <c r="E73" s="14" t="s">
        <v>68</v>
      </c>
      <c r="F73" s="15"/>
      <c r="G73" s="15">
        <f>SUMIFS(입금현황!$Y:$Y,입금현황!$A:$A,원장!$A73)</f>
        <v>1800000</v>
      </c>
      <c r="H73" s="17">
        <f t="shared" si="5"/>
        <v>1800000</v>
      </c>
      <c r="I73" s="16" t="s">
        <v>89</v>
      </c>
    </row>
    <row r="74" spans="1:9" x14ac:dyDescent="0.3">
      <c r="A74" s="10" t="str">
        <f t="shared" si="4"/>
        <v>25년 11월</v>
      </c>
      <c r="B74" s="10" t="str">
        <f>VLOOKUP(WEEKDAY(C74,2),참조!$A$1:$B$10,2,)</f>
        <v>월</v>
      </c>
      <c r="C74" s="14">
        <v>45964</v>
      </c>
      <c r="D74" s="14" t="s">
        <v>90</v>
      </c>
      <c r="E74" s="14" t="s">
        <v>72</v>
      </c>
      <c r="F74" s="15">
        <v>150000</v>
      </c>
      <c r="G74" s="15"/>
      <c r="H74" s="17">
        <f t="shared" si="5"/>
        <v>-150000</v>
      </c>
      <c r="I74" s="16" t="s">
        <v>14</v>
      </c>
    </row>
    <row r="75" spans="1:9" x14ac:dyDescent="0.3">
      <c r="A75" s="10" t="str">
        <f t="shared" si="4"/>
        <v>25년 11월</v>
      </c>
      <c r="B75" s="10" t="str">
        <f>VLOOKUP(WEEKDAY(C75,2),참조!$A$1:$B$10,2,)</f>
        <v>일</v>
      </c>
      <c r="C75" s="14">
        <v>45984</v>
      </c>
      <c r="D75" s="14" t="s">
        <v>90</v>
      </c>
      <c r="E75" s="14" t="s">
        <v>72</v>
      </c>
      <c r="F75" s="15">
        <v>1494400</v>
      </c>
      <c r="G75" s="15"/>
      <c r="H75" s="17">
        <f t="shared" si="5"/>
        <v>-1494400</v>
      </c>
      <c r="I75" s="16" t="s">
        <v>131</v>
      </c>
    </row>
    <row r="76" spans="1:9" x14ac:dyDescent="0.3">
      <c r="A76" s="10" t="str">
        <f t="shared" si="4"/>
        <v>25년 11월</v>
      </c>
      <c r="B76" s="10" t="str">
        <f>VLOOKUP(WEEKDAY(C76,2),참조!$A$1:$B$10,2,)</f>
        <v>일</v>
      </c>
      <c r="C76" s="14">
        <v>45991</v>
      </c>
      <c r="D76" s="14" t="s">
        <v>88</v>
      </c>
      <c r="E76" s="14" t="s">
        <v>70</v>
      </c>
      <c r="F76" s="15"/>
      <c r="G76" s="15">
        <v>736</v>
      </c>
      <c r="H76" s="17">
        <f t="shared" si="5"/>
        <v>736</v>
      </c>
      <c r="I76" s="16" t="s">
        <v>104</v>
      </c>
    </row>
    <row r="77" spans="1:9" x14ac:dyDescent="0.3">
      <c r="A77" s="10" t="str">
        <f t="shared" si="4"/>
        <v>25년 12월</v>
      </c>
      <c r="B77" s="10" t="str">
        <f>VLOOKUP(WEEKDAY(C77,2),참조!$A$1:$B$10,2,)</f>
        <v>월</v>
      </c>
      <c r="C77" s="14">
        <v>45992</v>
      </c>
      <c r="D77" s="14" t="s">
        <v>88</v>
      </c>
      <c r="E77" s="14" t="s">
        <v>68</v>
      </c>
      <c r="F77" s="15"/>
      <c r="G77" s="15">
        <f>SUMIFS(입금현황!$Y:$Y,입금현황!$A:$A,원장!$A77)</f>
        <v>1900000</v>
      </c>
      <c r="H77" s="17">
        <f t="shared" si="5"/>
        <v>1900000</v>
      </c>
      <c r="I77" s="16" t="s">
        <v>89</v>
      </c>
    </row>
    <row r="78" spans="1:9" x14ac:dyDescent="0.3">
      <c r="A78" s="10" t="str">
        <f t="shared" si="4"/>
        <v>25년 12월</v>
      </c>
      <c r="B78" s="10" t="str">
        <f>VLOOKUP(WEEKDAY(C78,2),참조!$A$1:$B$10,2,)</f>
        <v>월</v>
      </c>
      <c r="C78" s="14">
        <v>45992</v>
      </c>
      <c r="D78" s="14" t="s">
        <v>90</v>
      </c>
      <c r="E78" s="14" t="s">
        <v>75</v>
      </c>
      <c r="F78" s="15">
        <v>1587300</v>
      </c>
      <c r="G78" s="15"/>
      <c r="H78" s="17">
        <f t="shared" si="5"/>
        <v>-1587300</v>
      </c>
      <c r="I78" s="16" t="s">
        <v>75</v>
      </c>
    </row>
    <row r="79" spans="1:9" x14ac:dyDescent="0.3">
      <c r="A79" s="10" t="str">
        <f t="shared" si="4"/>
        <v>25년 12월</v>
      </c>
      <c r="B79" s="10" t="str">
        <f>VLOOKUP(WEEKDAY(C79,2),참조!$A$1:$B$10,2,)</f>
        <v>월</v>
      </c>
      <c r="C79" s="14">
        <v>45992</v>
      </c>
      <c r="D79" s="14" t="s">
        <v>90</v>
      </c>
      <c r="E79" s="14" t="s">
        <v>72</v>
      </c>
      <c r="F79" s="15">
        <v>250000</v>
      </c>
      <c r="G79" s="15"/>
      <c r="H79" s="17">
        <f t="shared" si="5"/>
        <v>-250000</v>
      </c>
      <c r="I79" s="16" t="s">
        <v>132</v>
      </c>
    </row>
    <row r="80" spans="1:9" x14ac:dyDescent="0.3">
      <c r="A80" s="10" t="str">
        <f t="shared" si="4"/>
        <v>25년 12월</v>
      </c>
      <c r="B80" s="10" t="str">
        <f>VLOOKUP(WEEKDAY(C80,2),참조!$A$1:$B$10,2,)</f>
        <v>일</v>
      </c>
      <c r="C80" s="14">
        <v>46005</v>
      </c>
      <c r="D80" s="14" t="s">
        <v>90</v>
      </c>
      <c r="E80" s="14" t="s">
        <v>72</v>
      </c>
      <c r="F80" s="15">
        <v>2231800</v>
      </c>
      <c r="G80" s="15"/>
      <c r="H80" s="17">
        <f t="shared" si="5"/>
        <v>-2231800</v>
      </c>
      <c r="I80" s="16" t="s">
        <v>133</v>
      </c>
    </row>
    <row r="81" spans="1:9" x14ac:dyDescent="0.3">
      <c r="A81" s="10" t="str">
        <f t="shared" si="4"/>
        <v>25년 12월</v>
      </c>
      <c r="B81" s="10" t="str">
        <f>VLOOKUP(WEEKDAY(C81,2),참조!$A$1:$B$10,2,)</f>
        <v>월</v>
      </c>
      <c r="C81" s="14">
        <v>46006</v>
      </c>
      <c r="D81" s="14" t="s">
        <v>90</v>
      </c>
      <c r="E81" s="14" t="s">
        <v>74</v>
      </c>
      <c r="F81" s="15">
        <v>1000000</v>
      </c>
      <c r="G81" s="15"/>
      <c r="H81" s="17">
        <f t="shared" si="5"/>
        <v>-1000000</v>
      </c>
      <c r="I81" s="16" t="s">
        <v>134</v>
      </c>
    </row>
    <row r="82" spans="1:9" x14ac:dyDescent="0.3">
      <c r="A82" s="10" t="str">
        <f t="shared" si="4"/>
        <v>25년 12월</v>
      </c>
      <c r="B82" s="10" t="str">
        <f>VLOOKUP(WEEKDAY(C82,2),참조!$A$1:$B$10,2,)</f>
        <v>수</v>
      </c>
      <c r="C82" s="14">
        <v>46015</v>
      </c>
      <c r="D82" s="14" t="s">
        <v>90</v>
      </c>
      <c r="E82" s="14" t="s">
        <v>74</v>
      </c>
      <c r="F82" s="15">
        <v>100000</v>
      </c>
      <c r="G82" s="15"/>
      <c r="H82" s="17">
        <f t="shared" si="5"/>
        <v>-100000</v>
      </c>
      <c r="I82" s="16" t="s">
        <v>135</v>
      </c>
    </row>
    <row r="83" spans="1:9" x14ac:dyDescent="0.3">
      <c r="A83" s="10" t="str">
        <f t="shared" si="4"/>
        <v>25년 12월</v>
      </c>
      <c r="B83" s="10" t="str">
        <f>VLOOKUP(WEEKDAY(C83,2),참조!$A$1:$B$10,2,)</f>
        <v>화</v>
      </c>
      <c r="C83" s="14">
        <v>46021</v>
      </c>
      <c r="D83" s="14" t="s">
        <v>88</v>
      </c>
      <c r="E83" s="14" t="s">
        <v>70</v>
      </c>
      <c r="F83" s="15"/>
      <c r="G83" s="15">
        <v>3179</v>
      </c>
      <c r="H83" s="17">
        <f t="shared" si="5"/>
        <v>3179</v>
      </c>
      <c r="I83" s="16" t="s">
        <v>104</v>
      </c>
    </row>
    <row r="84" spans="1:9" x14ac:dyDescent="0.3">
      <c r="A84" s="10" t="str">
        <f t="shared" si="4"/>
        <v>26년 1월</v>
      </c>
      <c r="B84" s="10" t="str">
        <f>VLOOKUP(WEEKDAY(C84,2),참조!$A$1:$B$10,2,)</f>
        <v>목</v>
      </c>
      <c r="C84" s="14">
        <v>46023</v>
      </c>
      <c r="D84" s="14" t="s">
        <v>88</v>
      </c>
      <c r="E84" s="14" t="s">
        <v>68</v>
      </c>
      <c r="F84" s="15"/>
      <c r="G84" s="15">
        <f>SUMIFS(입금현황!$Y:$Y,입금현황!$A:$A,원장!$A84)</f>
        <v>1800000</v>
      </c>
      <c r="H84" s="17">
        <f t="shared" si="5"/>
        <v>1800000</v>
      </c>
      <c r="I84" s="16" t="s">
        <v>89</v>
      </c>
    </row>
    <row r="85" spans="1:9" x14ac:dyDescent="0.3">
      <c r="A85" s="10" t="str">
        <f t="shared" si="4"/>
        <v>26년 1월</v>
      </c>
      <c r="B85" s="10" t="str">
        <f>VLOOKUP(WEEKDAY(C85,2),참조!$A$1:$B$10,2,)</f>
        <v>일</v>
      </c>
      <c r="C85" s="14">
        <v>46047</v>
      </c>
      <c r="D85" s="14" t="s">
        <v>88</v>
      </c>
      <c r="E85" s="14" t="s">
        <v>69</v>
      </c>
      <c r="F85" s="15"/>
      <c r="G85" s="15">
        <v>50000</v>
      </c>
      <c r="H85" s="17">
        <f t="shared" si="5"/>
        <v>50000</v>
      </c>
      <c r="I85" s="16" t="s">
        <v>128</v>
      </c>
    </row>
    <row r="86" spans="1:9" x14ac:dyDescent="0.3">
      <c r="A86" s="10" t="str">
        <f t="shared" si="4"/>
        <v>26년 1월</v>
      </c>
      <c r="B86" s="10" t="str">
        <f>VLOOKUP(WEEKDAY(C86,2),참조!$A$1:$B$10,2,)</f>
        <v>월</v>
      </c>
      <c r="C86" s="14">
        <v>46048</v>
      </c>
      <c r="D86" s="14" t="s">
        <v>90</v>
      </c>
      <c r="E86" s="14" t="s">
        <v>72</v>
      </c>
      <c r="F86" s="15">
        <v>850000</v>
      </c>
      <c r="G86" s="15"/>
      <c r="H86" s="17">
        <f t="shared" si="5"/>
        <v>-850000</v>
      </c>
      <c r="I86" s="16" t="s">
        <v>1</v>
      </c>
    </row>
    <row r="87" spans="1:9" x14ac:dyDescent="0.3">
      <c r="A87" s="10" t="str">
        <f t="shared" si="4"/>
        <v>26년 1월</v>
      </c>
      <c r="B87" s="10" t="str">
        <f>VLOOKUP(WEEKDAY(C87,2),참조!$A$1:$B$10,2,)</f>
        <v>토</v>
      </c>
      <c r="C87" s="14">
        <v>46053</v>
      </c>
      <c r="D87" s="14" t="s">
        <v>88</v>
      </c>
      <c r="E87" s="14" t="s">
        <v>70</v>
      </c>
      <c r="F87" s="15"/>
      <c r="G87" s="15">
        <v>166</v>
      </c>
      <c r="H87" s="17">
        <f t="shared" si="5"/>
        <v>166</v>
      </c>
      <c r="I87" s="16" t="s">
        <v>104</v>
      </c>
    </row>
    <row r="88" spans="1:9" x14ac:dyDescent="0.3">
      <c r="A88" s="10" t="str">
        <f t="shared" si="4"/>
        <v>26년 2월</v>
      </c>
      <c r="B88" s="10" t="str">
        <f>VLOOKUP(WEEKDAY(C88,2),참조!$A$1:$B$10,2,)</f>
        <v>일</v>
      </c>
      <c r="C88" s="14">
        <v>46054</v>
      </c>
      <c r="D88" s="14" t="s">
        <v>88</v>
      </c>
      <c r="E88" s="14" t="s">
        <v>68</v>
      </c>
      <c r="F88" s="15"/>
      <c r="G88" s="15">
        <f>SUMIFS(입금현황!$Y:$Y,입금현황!$A:$A,원장!$A88)</f>
        <v>1900000</v>
      </c>
      <c r="H88" s="17">
        <f t="shared" si="5"/>
        <v>1900000</v>
      </c>
      <c r="I88" s="16" t="s">
        <v>89</v>
      </c>
    </row>
    <row r="89" spans="1:9" x14ac:dyDescent="0.3">
      <c r="A89" s="10" t="str">
        <f t="shared" si="4"/>
        <v>26년 2월</v>
      </c>
      <c r="B89" s="10" t="str">
        <f>VLOOKUP(WEEKDAY(C89,2),참조!$A$1:$B$10,2,)</f>
        <v>목</v>
      </c>
      <c r="C89" s="14">
        <v>46065</v>
      </c>
      <c r="D89" s="14" t="s">
        <v>90</v>
      </c>
      <c r="E89" s="14" t="s">
        <v>74</v>
      </c>
      <c r="F89" s="15">
        <v>197100</v>
      </c>
      <c r="G89" s="15"/>
      <c r="H89" s="17">
        <f t="shared" si="5"/>
        <v>-197100</v>
      </c>
      <c r="I89" s="16" t="s">
        <v>136</v>
      </c>
    </row>
    <row r="90" spans="1:9" x14ac:dyDescent="0.3">
      <c r="A90" s="10" t="str">
        <f t="shared" si="4"/>
        <v>26년 2월</v>
      </c>
      <c r="B90" s="10" t="str">
        <f>VLOOKUP(WEEKDAY(C90,2),참조!$A$1:$B$10,2,)</f>
        <v>수</v>
      </c>
      <c r="C90" s="14">
        <v>46078</v>
      </c>
      <c r="D90" s="14" t="s">
        <v>90</v>
      </c>
      <c r="E90" s="14" t="s">
        <v>72</v>
      </c>
      <c r="F90" s="15">
        <v>1110000</v>
      </c>
      <c r="G90" s="15"/>
      <c r="H90" s="17">
        <f t="shared" si="5"/>
        <v>-1110000</v>
      </c>
      <c r="I90" s="16" t="s">
        <v>9</v>
      </c>
    </row>
    <row r="91" spans="1:9" x14ac:dyDescent="0.3">
      <c r="A91" s="10" t="str">
        <f t="shared" si="4"/>
        <v>26년 3월</v>
      </c>
      <c r="B91" s="10" t="str">
        <f>VLOOKUP(WEEKDAY(C91,2),참조!$A$1:$B$10,2,)</f>
        <v>일</v>
      </c>
      <c r="C91" s="14">
        <v>46082</v>
      </c>
      <c r="D91" s="14" t="s">
        <v>88</v>
      </c>
      <c r="E91" s="14" t="s">
        <v>68</v>
      </c>
      <c r="F91" s="15"/>
      <c r="G91" s="15">
        <f>SUMIFS(입금현황!$Y:$Y,입금현황!$A:$A,원장!$A91)</f>
        <v>1900000</v>
      </c>
      <c r="H91" s="17">
        <f t="shared" si="5"/>
        <v>1900000</v>
      </c>
      <c r="I91" s="16" t="s">
        <v>89</v>
      </c>
    </row>
    <row r="92" spans="1:9" x14ac:dyDescent="0.3">
      <c r="A92" s="10" t="str">
        <f t="shared" si="4"/>
        <v>26년 3월</v>
      </c>
      <c r="B92" s="10" t="str">
        <f>VLOOKUP(WEEKDAY(C92,2),참조!$A$1:$B$10,2,)</f>
        <v>일</v>
      </c>
      <c r="C92" s="14">
        <v>46110</v>
      </c>
      <c r="D92" s="14" t="s">
        <v>88</v>
      </c>
      <c r="E92" s="14" t="s">
        <v>69</v>
      </c>
      <c r="F92" s="15"/>
      <c r="G92" s="15">
        <v>50000</v>
      </c>
      <c r="H92" s="17">
        <f t="shared" si="5"/>
        <v>50000</v>
      </c>
      <c r="I92" s="16" t="s">
        <v>137</v>
      </c>
    </row>
    <row r="93" spans="1:9" x14ac:dyDescent="0.3">
      <c r="A93" s="10" t="str">
        <f t="shared" si="4"/>
        <v>26년 3월</v>
      </c>
      <c r="B93" s="10" t="str">
        <f>VLOOKUP(WEEKDAY(C93,2),참조!$A$1:$B$10,2,)</f>
        <v>일</v>
      </c>
      <c r="C93" s="14">
        <v>46110</v>
      </c>
      <c r="D93" s="14" t="s">
        <v>88</v>
      </c>
      <c r="E93" s="14" t="s">
        <v>69</v>
      </c>
      <c r="F93" s="15"/>
      <c r="G93" s="15">
        <v>50000</v>
      </c>
      <c r="H93" s="17">
        <f t="shared" si="5"/>
        <v>50000</v>
      </c>
      <c r="I93" s="16" t="s">
        <v>138</v>
      </c>
    </row>
    <row r="94" spans="1:9" x14ac:dyDescent="0.3">
      <c r="A94" s="10" t="str">
        <f t="shared" si="4"/>
        <v>26년 3월</v>
      </c>
      <c r="B94" s="10" t="str">
        <f>VLOOKUP(WEEKDAY(C94,2),참조!$A$1:$B$10,2,)</f>
        <v>일</v>
      </c>
      <c r="C94" s="14">
        <v>46110</v>
      </c>
      <c r="D94" s="14" t="s">
        <v>88</v>
      </c>
      <c r="E94" s="14" t="s">
        <v>69</v>
      </c>
      <c r="F94" s="15"/>
      <c r="G94" s="15">
        <v>50000</v>
      </c>
      <c r="H94" s="17">
        <f t="shared" si="5"/>
        <v>50000</v>
      </c>
      <c r="I94" s="16" t="s">
        <v>122</v>
      </c>
    </row>
    <row r="95" spans="1:9" x14ac:dyDescent="0.3">
      <c r="A95" s="10" t="str">
        <f t="shared" si="4"/>
        <v>26년 3월</v>
      </c>
      <c r="B95" s="10" t="str">
        <f>VLOOKUP(WEEKDAY(C95,2),참조!$A$1:$B$10,2,)</f>
        <v>일</v>
      </c>
      <c r="C95" s="14">
        <v>46110</v>
      </c>
      <c r="D95" s="14" t="s">
        <v>90</v>
      </c>
      <c r="E95" s="14" t="s">
        <v>72</v>
      </c>
      <c r="F95" s="15">
        <v>630000</v>
      </c>
      <c r="G95" s="15"/>
      <c r="H95" s="17">
        <f t="shared" si="5"/>
        <v>-630000</v>
      </c>
      <c r="I95" s="16" t="s">
        <v>2</v>
      </c>
    </row>
    <row r="96" spans="1:9" x14ac:dyDescent="0.3">
      <c r="A96" s="10" t="str">
        <f t="shared" si="4"/>
        <v>26년 3월</v>
      </c>
      <c r="B96" s="10" t="str">
        <f>VLOOKUP(WEEKDAY(C96,2),참조!$A$1:$B$10,2,)</f>
        <v>일</v>
      </c>
      <c r="C96" s="14">
        <v>46110</v>
      </c>
      <c r="D96" s="14" t="s">
        <v>88</v>
      </c>
      <c r="E96" s="14" t="s">
        <v>70</v>
      </c>
      <c r="F96" s="15"/>
      <c r="G96" s="15">
        <v>568</v>
      </c>
      <c r="H96" s="17">
        <f t="shared" si="5"/>
        <v>568</v>
      </c>
      <c r="I96" s="16" t="s">
        <v>104</v>
      </c>
    </row>
    <row r="97" spans="1:9" x14ac:dyDescent="0.3">
      <c r="A97" s="10" t="str">
        <f t="shared" si="4"/>
        <v>26년 4월</v>
      </c>
      <c r="B97" s="10" t="str">
        <f>VLOOKUP(WEEKDAY(C97,2),참조!$A$1:$B$10,2,)</f>
        <v>수</v>
      </c>
      <c r="C97" s="14">
        <v>46113</v>
      </c>
      <c r="D97" s="14" t="s">
        <v>88</v>
      </c>
      <c r="E97" s="14" t="s">
        <v>68</v>
      </c>
      <c r="F97" s="15"/>
      <c r="G97" s="15">
        <f>SUMIFS(입금현황!$Y:$Y,입금현황!$A:$A,원장!$A97)</f>
        <v>2100000</v>
      </c>
      <c r="H97" s="17">
        <f t="shared" si="5"/>
        <v>2100000</v>
      </c>
      <c r="I97" s="16" t="s">
        <v>89</v>
      </c>
    </row>
    <row r="98" spans="1:9" x14ac:dyDescent="0.3">
      <c r="A98" s="10" t="str">
        <f t="shared" si="4"/>
        <v>26년 4월</v>
      </c>
      <c r="B98" s="10" t="str">
        <f>VLOOKUP(WEEKDAY(C98,2),참조!$A$1:$B$10,2,)</f>
        <v>목</v>
      </c>
      <c r="C98" s="14">
        <v>46121</v>
      </c>
      <c r="D98" s="14" t="s">
        <v>90</v>
      </c>
      <c r="E98" s="14" t="s">
        <v>74</v>
      </c>
      <c r="F98" s="15">
        <v>49000</v>
      </c>
      <c r="G98" s="15"/>
      <c r="H98" s="17">
        <f t="shared" si="5"/>
        <v>-49000</v>
      </c>
      <c r="I98" s="16" t="s">
        <v>158</v>
      </c>
    </row>
    <row r="99" spans="1:9" x14ac:dyDescent="0.3">
      <c r="A99" s="10" t="str">
        <f t="shared" ref="A99" si="6">RIGHT(YEAR(C99),2)&amp;"년 "&amp;MONTH(C99)&amp;"월"</f>
        <v>26년 4월</v>
      </c>
      <c r="B99" s="10" t="str">
        <f>VLOOKUP(WEEKDAY(C99,2),참조!$A$1:$B$10,2,)</f>
        <v>월</v>
      </c>
      <c r="C99" s="14">
        <v>46139</v>
      </c>
      <c r="D99" s="14" t="s">
        <v>90</v>
      </c>
      <c r="E99" s="14" t="s">
        <v>72</v>
      </c>
      <c r="F99" s="15">
        <v>366650</v>
      </c>
      <c r="G99" s="15"/>
      <c r="H99" s="17">
        <f t="shared" ref="H99" si="7">G99-F99</f>
        <v>-366650</v>
      </c>
      <c r="I99" s="16" t="s">
        <v>156</v>
      </c>
    </row>
    <row r="100" spans="1:9" x14ac:dyDescent="0.3">
      <c r="A100" s="10" t="str">
        <f t="shared" ref="A100:A101" si="8">RIGHT(YEAR(C100),2)&amp;"년 "&amp;MONTH(C100)&amp;"월"</f>
        <v>26년 4월</v>
      </c>
      <c r="B100" s="10" t="str">
        <f>VLOOKUP(WEEKDAY(C100,2),참조!$A$1:$B$10,2,)</f>
        <v>월</v>
      </c>
      <c r="C100" s="14">
        <v>46139</v>
      </c>
      <c r="D100" s="14" t="s">
        <v>90</v>
      </c>
      <c r="E100" s="14" t="s">
        <v>72</v>
      </c>
      <c r="F100" s="15">
        <v>361900</v>
      </c>
      <c r="G100" s="15"/>
      <c r="H100" s="17">
        <f t="shared" ref="H100:H101" si="9">G100-F100</f>
        <v>-361900</v>
      </c>
      <c r="I100" s="16" t="s">
        <v>157</v>
      </c>
    </row>
    <row r="101" spans="1:9" x14ac:dyDescent="0.3">
      <c r="A101" s="10" t="str">
        <f t="shared" si="8"/>
        <v>26년 4월</v>
      </c>
      <c r="B101" s="10" t="str">
        <f>VLOOKUP(WEEKDAY(C101,2),참조!$A$1:$B$10,2,)</f>
        <v>목</v>
      </c>
      <c r="C101" s="14">
        <v>46142</v>
      </c>
      <c r="D101" s="14" t="s">
        <v>88</v>
      </c>
      <c r="E101" s="14" t="s">
        <v>70</v>
      </c>
      <c r="F101" s="15"/>
      <c r="G101" s="15">
        <v>380</v>
      </c>
      <c r="H101" s="17">
        <f t="shared" si="9"/>
        <v>380</v>
      </c>
      <c r="I101" s="16" t="s">
        <v>104</v>
      </c>
    </row>
    <row r="102" spans="1:9" x14ac:dyDescent="0.3">
      <c r="A102" s="10" t="str">
        <f t="shared" si="4"/>
        <v>26년 5월</v>
      </c>
      <c r="B102" s="10" t="str">
        <f>VLOOKUP(WEEKDAY(C102,2),참조!$A$1:$B$10,2,)</f>
        <v>금</v>
      </c>
      <c r="C102" s="14">
        <v>46143</v>
      </c>
      <c r="D102" s="14" t="s">
        <v>88</v>
      </c>
      <c r="E102" s="14" t="s">
        <v>68</v>
      </c>
      <c r="F102" s="15"/>
      <c r="G102" s="15">
        <f>SUMIFS(입금현황!$Y:$Y,입금현황!$A:$A,원장!$A102)</f>
        <v>1600000</v>
      </c>
      <c r="H102" s="17">
        <v>1600000</v>
      </c>
      <c r="I102" s="16" t="s">
        <v>89</v>
      </c>
    </row>
    <row r="103" spans="1:9" x14ac:dyDescent="0.3">
      <c r="A103" s="10" t="str">
        <f t="shared" ref="A103:A109" si="10">RIGHT(YEAR(C103),2)&amp;"년 "&amp;MONTH(C103)&amp;"월"</f>
        <v>26년 6월</v>
      </c>
      <c r="B103" s="10" t="str">
        <f>VLOOKUP(WEEKDAY(C103,2),참조!$A$1:$B$10,2,)</f>
        <v>월</v>
      </c>
      <c r="C103" s="14">
        <v>46174</v>
      </c>
      <c r="D103" s="14" t="s">
        <v>88</v>
      </c>
      <c r="E103" s="14" t="s">
        <v>68</v>
      </c>
      <c r="F103" s="15"/>
      <c r="G103" s="15">
        <f>SUMIFS(입금현황!$Y:$Y,입금현황!$A:$A,원장!$A103)</f>
        <v>100000</v>
      </c>
      <c r="H103" s="17">
        <f t="shared" ref="H103:H109" si="11">G103-F103</f>
        <v>100000</v>
      </c>
      <c r="I103" s="16" t="s">
        <v>89</v>
      </c>
    </row>
    <row r="104" spans="1:9" x14ac:dyDescent="0.3">
      <c r="A104" s="10" t="str">
        <f t="shared" si="10"/>
        <v>26년 7월</v>
      </c>
      <c r="B104" s="10" t="str">
        <f>VLOOKUP(WEEKDAY(C104,2),참조!$A$1:$B$10,2,)</f>
        <v>수</v>
      </c>
      <c r="C104" s="14">
        <v>46204</v>
      </c>
      <c r="D104" s="14" t="s">
        <v>88</v>
      </c>
      <c r="E104" s="14" t="s">
        <v>68</v>
      </c>
      <c r="F104" s="15"/>
      <c r="G104" s="15">
        <f>SUMIFS(입금현황!$Y:$Y,입금현황!$A:$A,원장!$A104)</f>
        <v>0</v>
      </c>
      <c r="H104" s="17">
        <f t="shared" si="11"/>
        <v>0</v>
      </c>
      <c r="I104" s="16" t="s">
        <v>89</v>
      </c>
    </row>
    <row r="105" spans="1:9" x14ac:dyDescent="0.3">
      <c r="A105" s="10" t="str">
        <f t="shared" si="10"/>
        <v>26년 8월</v>
      </c>
      <c r="B105" s="10" t="str">
        <f>VLOOKUP(WEEKDAY(C105,2),참조!$A$1:$B$10,2,)</f>
        <v>토</v>
      </c>
      <c r="C105" s="14">
        <v>46235</v>
      </c>
      <c r="D105" s="14" t="s">
        <v>88</v>
      </c>
      <c r="E105" s="14" t="s">
        <v>68</v>
      </c>
      <c r="F105" s="15"/>
      <c r="G105" s="15">
        <f>SUMIFS(입금현황!$Y:$Y,입금현황!$A:$A,원장!$A105)</f>
        <v>0</v>
      </c>
      <c r="H105" s="17">
        <f t="shared" si="11"/>
        <v>0</v>
      </c>
      <c r="I105" s="16" t="s">
        <v>89</v>
      </c>
    </row>
    <row r="106" spans="1:9" x14ac:dyDescent="0.3">
      <c r="A106" s="10" t="str">
        <f t="shared" si="10"/>
        <v>26년 9월</v>
      </c>
      <c r="B106" s="10" t="str">
        <f>VLOOKUP(WEEKDAY(C106,2),참조!$A$1:$B$10,2,)</f>
        <v>화</v>
      </c>
      <c r="C106" s="14">
        <v>46266</v>
      </c>
      <c r="D106" s="14" t="s">
        <v>88</v>
      </c>
      <c r="E106" s="14" t="s">
        <v>68</v>
      </c>
      <c r="F106" s="15"/>
      <c r="G106" s="15">
        <f>SUMIFS(입금현황!$Y:$Y,입금현황!$A:$A,원장!$A106)</f>
        <v>0</v>
      </c>
      <c r="H106" s="17">
        <f t="shared" si="11"/>
        <v>0</v>
      </c>
      <c r="I106" s="16" t="s">
        <v>89</v>
      </c>
    </row>
    <row r="107" spans="1:9" x14ac:dyDescent="0.3">
      <c r="A107" s="10" t="str">
        <f t="shared" si="10"/>
        <v>26년 10월</v>
      </c>
      <c r="B107" s="10" t="str">
        <f>VLOOKUP(WEEKDAY(C107,2),참조!$A$1:$B$10,2,)</f>
        <v>목</v>
      </c>
      <c r="C107" s="14">
        <v>46296</v>
      </c>
      <c r="D107" s="14" t="s">
        <v>88</v>
      </c>
      <c r="E107" s="14" t="s">
        <v>68</v>
      </c>
      <c r="F107" s="15"/>
      <c r="G107" s="15">
        <f>SUMIFS(입금현황!$Y:$Y,입금현황!$A:$A,원장!$A107)</f>
        <v>0</v>
      </c>
      <c r="H107" s="17">
        <f t="shared" si="11"/>
        <v>0</v>
      </c>
      <c r="I107" s="16" t="s">
        <v>89</v>
      </c>
    </row>
    <row r="108" spans="1:9" x14ac:dyDescent="0.3">
      <c r="A108" s="10" t="str">
        <f t="shared" si="10"/>
        <v>26년 11월</v>
      </c>
      <c r="B108" s="10" t="str">
        <f>VLOOKUP(WEEKDAY(C108,2),참조!$A$1:$B$10,2,)</f>
        <v>일</v>
      </c>
      <c r="C108" s="14">
        <v>46327</v>
      </c>
      <c r="D108" s="14" t="s">
        <v>88</v>
      </c>
      <c r="E108" s="14" t="s">
        <v>68</v>
      </c>
      <c r="F108" s="15"/>
      <c r="G108" s="15">
        <f>SUMIFS(입금현황!$Y:$Y,입금현황!$A:$A,원장!$A108)</f>
        <v>0</v>
      </c>
      <c r="H108" s="17">
        <f t="shared" si="11"/>
        <v>0</v>
      </c>
      <c r="I108" s="16" t="s">
        <v>89</v>
      </c>
    </row>
    <row r="109" spans="1:9" x14ac:dyDescent="0.3">
      <c r="A109" s="10" t="str">
        <f t="shared" si="10"/>
        <v>26년 12월</v>
      </c>
      <c r="B109" s="10" t="str">
        <f>VLOOKUP(WEEKDAY(C109,2),참조!$A$1:$B$10,2,)</f>
        <v>화</v>
      </c>
      <c r="C109" s="14">
        <v>46357</v>
      </c>
      <c r="D109" s="14" t="s">
        <v>88</v>
      </c>
      <c r="E109" s="14" t="s">
        <v>68</v>
      </c>
      <c r="F109" s="15"/>
      <c r="G109" s="15">
        <f>SUMIFS(입금현황!$Y:$Y,입금현황!$A:$A,원장!$A109)</f>
        <v>0</v>
      </c>
      <c r="H109" s="17">
        <f t="shared" si="11"/>
        <v>0</v>
      </c>
      <c r="I109" s="16" t="s">
        <v>89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J12" sqref="J12"/>
    </sheetView>
  </sheetViews>
  <sheetFormatPr defaultRowHeight="16.5" customHeight="1" x14ac:dyDescent="0.3"/>
  <cols>
    <col min="1" max="1" width="2.375" style="99" customWidth="1"/>
    <col min="2" max="19" width="12.25" style="99" customWidth="1"/>
  </cols>
  <sheetData>
    <row r="2" spans="1:19" ht="27.75" customHeight="1" x14ac:dyDescent="0.3">
      <c r="B2" s="58" t="s">
        <v>77</v>
      </c>
      <c r="C2" s="58" t="s">
        <v>139</v>
      </c>
      <c r="D2" s="61" t="s">
        <v>88</v>
      </c>
      <c r="E2" s="61"/>
      <c r="F2" s="61"/>
      <c r="G2" s="61"/>
      <c r="H2" s="61" t="s">
        <v>90</v>
      </c>
      <c r="I2" s="61"/>
      <c r="J2" s="61"/>
      <c r="K2" s="61"/>
      <c r="L2" s="61"/>
    </row>
    <row r="3" spans="1:19" ht="27.75" customHeight="1" x14ac:dyDescent="0.3">
      <c r="B3" s="58" t="s">
        <v>77</v>
      </c>
      <c r="C3" s="58" t="s">
        <v>139</v>
      </c>
      <c r="D3" s="55" t="s">
        <v>68</v>
      </c>
      <c r="E3" s="55" t="s">
        <v>69</v>
      </c>
      <c r="F3" s="55" t="s">
        <v>70</v>
      </c>
      <c r="G3" s="55" t="s">
        <v>24</v>
      </c>
      <c r="H3" s="55" t="s">
        <v>72</v>
      </c>
      <c r="I3" s="55" t="s">
        <v>73</v>
      </c>
      <c r="J3" s="55" t="s">
        <v>74</v>
      </c>
      <c r="K3" s="55" t="s">
        <v>75</v>
      </c>
      <c r="L3" s="55" t="s">
        <v>24</v>
      </c>
    </row>
    <row r="4" spans="1:19" ht="27.75" customHeight="1" x14ac:dyDescent="0.3">
      <c r="B4" s="56" t="s">
        <v>140</v>
      </c>
      <c r="C4" s="56"/>
      <c r="D4" s="60">
        <f>AVERAGEIFS(D10:D2203,D10:D2203,"&gt;0")</f>
        <v>1636363.6363636365</v>
      </c>
      <c r="E4" s="60">
        <f>AVERAGEIFS(E10:E2203,E10:E2203,"&gt;0")</f>
        <v>67500</v>
      </c>
      <c r="F4" s="60">
        <f>AVERAGEIFS(F10:F2203,F10:F2203,"&gt;0")</f>
        <v>737</v>
      </c>
      <c r="G4" s="60">
        <f>AVERAGEIFS(G10:G2203,G10:G2203,"&gt;0")</f>
        <v>1649105.3636363635</v>
      </c>
      <c r="H4" s="60">
        <f>AVERAGEIFS(H10:H2203,H10:H2203,"&lt;0")</f>
        <v>-1016193.1818181818</v>
      </c>
      <c r="I4" s="70">
        <f>AVERAGEIFS(I10:I2203,I10:I2203,"&lt;0")</f>
        <v>-935000</v>
      </c>
      <c r="J4" s="70">
        <f>AVERAGEIFS(J10:J2203,J10:J2203,"&lt;0")</f>
        <v>-568833.33333333337</v>
      </c>
      <c r="K4" s="70">
        <f>AVERAGEIFS(K10:K2203,K10:K2203,"&lt;0")</f>
        <v>-1462325</v>
      </c>
      <c r="L4" s="70">
        <f>AVERAGEIFS(L10:L2203,L10:L2203,"&lt;0")</f>
        <v>-1466836.3636363635</v>
      </c>
    </row>
    <row r="5" spans="1:19" ht="27.75" customHeight="1" x14ac:dyDescent="0.3">
      <c r="A5" s="54">
        <v>3</v>
      </c>
      <c r="B5" s="71" t="s">
        <v>141</v>
      </c>
      <c r="C5" s="56"/>
      <c r="D5" s="60">
        <f ca="1">AVERAGEIFS(D8:D2201,$C$10:$C$2203,"&lt;=3")</f>
        <v>1833333.3333333333</v>
      </c>
      <c r="E5" s="60">
        <f ca="1">AVERAGEIFS(E8:E2201,$C$10:$C$2203,"&lt;=3")</f>
        <v>16666.666666666668</v>
      </c>
      <c r="F5" s="60">
        <f ca="1">AVERAGEIFS(F8:F2201,$C$10:$C$2203,"&lt;=3")</f>
        <v>1360.3333333333333</v>
      </c>
      <c r="G5" s="72">
        <f ca="1">AVERAGEIFS(G8:G2201,$C$10:$C$2203,"&lt;=3")</f>
        <v>1851360.3333333333</v>
      </c>
      <c r="H5" s="60">
        <f ca="1">AVERAGEIFS(H$10:H$2203,$C$10:$C$2203,"&lt;=3")</f>
        <v>-863333.33333333337</v>
      </c>
      <c r="I5" s="60">
        <f ca="1">AVERAGEIFS(I$10:I$2203,$C$10:$C$2203,"&lt;=3")</f>
        <v>0</v>
      </c>
      <c r="J5" s="60">
        <f ca="1">AVERAGEIFS(J$10:J$2203,$C$10:$C$2203,"&lt;=3")</f>
        <v>-65700</v>
      </c>
      <c r="K5" s="60">
        <f ca="1">AVERAGEIFS(K$10:K$2203,$C$10:$C$2203,"&lt;=3")</f>
        <v>0</v>
      </c>
      <c r="L5" s="73">
        <f ca="1">AVERAGEIFS(L$10:L$2203,$C$10:$C$2203,"&lt;=3")</f>
        <v>-929033.33333333337</v>
      </c>
    </row>
    <row r="6" spans="1:19" ht="27.75" customHeight="1" x14ac:dyDescent="0.3">
      <c r="A6" s="54">
        <v>6</v>
      </c>
      <c r="B6" s="71" t="s">
        <v>142</v>
      </c>
      <c r="C6" s="56"/>
      <c r="D6" s="60">
        <f ca="1">AVERAGEIFS(D9:D2202,$C$10:$C$2203,"&lt;=6")</f>
        <v>1833333.3333333333</v>
      </c>
      <c r="E6" s="60">
        <f ca="1">AVERAGEIFS(E9:E2202,$C$10:$C$2203,"&lt;=6")</f>
        <v>8333.3333333333339</v>
      </c>
      <c r="F6" s="60">
        <f ca="1">AVERAGEIFS(F9:F2202,$C$10:$C$2203,"&lt;=6")</f>
        <v>808.16666666666663</v>
      </c>
      <c r="G6" s="72">
        <f ca="1">AVERAGEIFS(G9:G2202,$C$10:$C$2203,"&lt;=6")</f>
        <v>1842474.8333333333</v>
      </c>
      <c r="H6" s="60">
        <f ca="1">AVERAGEIFS(H$10:H$2203,$C$10:$C$2203,"&lt;=6")</f>
        <v>-1260700</v>
      </c>
      <c r="I6" s="60">
        <f ca="1">AVERAGEIFS(I$10:I$2203,$C$10:$C$2203,"&lt;=6")</f>
        <v>0</v>
      </c>
      <c r="J6" s="60">
        <f ca="1">AVERAGEIFS(J$10:J$2203,$C$10:$C$2203,"&lt;=6")</f>
        <v>-216183.33333333334</v>
      </c>
      <c r="K6" s="60">
        <f ca="1">AVERAGEIFS(K$10:K$2203,$C$10:$C$2203,"&lt;=6")</f>
        <v>-264550</v>
      </c>
      <c r="L6" s="73">
        <f ca="1">AVERAGEIFS(L$10:L$2203,$C$10:$C$2203,"&lt;=6")</f>
        <v>-1741433.3333333333</v>
      </c>
    </row>
    <row r="7" spans="1:19" ht="27.75" customHeight="1" x14ac:dyDescent="0.3">
      <c r="A7" s="54">
        <v>12</v>
      </c>
      <c r="B7" s="71" t="s">
        <v>143</v>
      </c>
      <c r="C7" s="56"/>
      <c r="D7" s="60">
        <f ca="1">AVERAGEIFS(D10:D2203,$C$10:$C$2203,"&lt;=12")</f>
        <v>1800000</v>
      </c>
      <c r="E7" s="60">
        <f ca="1">AVERAGEIFS(E10:E2203,$C$10:$C$2203,"&lt;=12")</f>
        <v>22500</v>
      </c>
      <c r="F7" s="60">
        <f ca="1">AVERAGEIFS(F10:F2203,$C$10:$C$2203,"&lt;=12")</f>
        <v>682.91666666666663</v>
      </c>
      <c r="G7" s="72">
        <f ca="1">AVERAGEIFS(G10:G2203,$C$10:$C$2203,"&lt;=12")</f>
        <v>1823182.9166666667</v>
      </c>
      <c r="H7" s="60">
        <f ca="1">AVERAGEIFS(H$10:H$2203,$C$10:$C$2203,"&lt;=12")</f>
        <v>-1135447.5</v>
      </c>
      <c r="I7" s="60">
        <f ca="1">AVERAGEIFS(I$10:I$2203,$C$10:$C$2203,"&lt;=12")</f>
        <v>-155833.33333333334</v>
      </c>
      <c r="J7" s="60">
        <f ca="1">AVERAGEIFS(J$10:J$2203,$C$10:$C$2203,"&lt;=12")</f>
        <v>-210616.66666666666</v>
      </c>
      <c r="K7" s="60">
        <f ca="1">AVERAGEIFS(K$10:K$2203,$C$10:$C$2203,"&lt;=12")</f>
        <v>-243720.83333333334</v>
      </c>
      <c r="L7" s="73">
        <f ca="1">AVERAGEIFS(L$10:L$2203,$C$10:$C$2203,"&lt;=12")</f>
        <v>-1745618.3333333333</v>
      </c>
    </row>
    <row r="9" spans="1:19" ht="16.5" customHeight="1" x14ac:dyDescent="0.3">
      <c r="B9" s="58" t="s">
        <v>77</v>
      </c>
      <c r="C9" s="58" t="s">
        <v>139</v>
      </c>
      <c r="D9" s="10" t="s">
        <v>88</v>
      </c>
      <c r="E9" s="10" t="s">
        <v>88</v>
      </c>
      <c r="F9" s="10" t="s">
        <v>88</v>
      </c>
      <c r="G9" s="57" t="s">
        <v>88</v>
      </c>
      <c r="H9" s="10" t="s">
        <v>90</v>
      </c>
      <c r="I9" s="10" t="s">
        <v>90</v>
      </c>
      <c r="J9" s="10" t="s">
        <v>90</v>
      </c>
      <c r="K9" s="10" t="s">
        <v>90</v>
      </c>
      <c r="L9" s="57" t="s">
        <v>90</v>
      </c>
      <c r="M9" s="61" t="s">
        <v>144</v>
      </c>
      <c r="N9" s="62"/>
      <c r="P9" s="54" t="s">
        <v>145</v>
      </c>
    </row>
    <row r="10" spans="1:19" ht="16.5" customHeight="1" x14ac:dyDescent="0.3">
      <c r="B10" s="58" t="s">
        <v>77</v>
      </c>
      <c r="C10" s="58" t="s">
        <v>139</v>
      </c>
      <c r="D10" s="59" t="s">
        <v>68</v>
      </c>
      <c r="E10" s="59" t="s">
        <v>69</v>
      </c>
      <c r="F10" s="59" t="s">
        <v>70</v>
      </c>
      <c r="G10" s="55" t="s">
        <v>24</v>
      </c>
      <c r="H10" s="59" t="s">
        <v>72</v>
      </c>
      <c r="I10" s="59" t="s">
        <v>73</v>
      </c>
      <c r="J10" s="59" t="s">
        <v>74</v>
      </c>
      <c r="K10" s="59" t="s">
        <v>75</v>
      </c>
      <c r="L10" s="55" t="s">
        <v>24</v>
      </c>
      <c r="M10" s="58" t="s">
        <v>24</v>
      </c>
      <c r="N10" s="57" t="s">
        <v>60</v>
      </c>
      <c r="P10" s="58" t="s">
        <v>77</v>
      </c>
      <c r="Q10" s="64" t="s">
        <v>88</v>
      </c>
      <c r="R10" s="65" t="s">
        <v>90</v>
      </c>
      <c r="S10" s="59" t="s">
        <v>60</v>
      </c>
    </row>
    <row r="11" spans="1:19" ht="16.5" customHeight="1" x14ac:dyDescent="0.3">
      <c r="B11" s="56" t="s">
        <v>28</v>
      </c>
      <c r="C11" s="3">
        <f ca="1">IF($B11=참고!$D$5,1,C12+1)</f>
        <v>22</v>
      </c>
      <c r="D11" s="60">
        <f>SUMIFS(원장!$H:$H,원장!$A:$A,증감분석!$B11,원장!$D:$D,증감분석!D$9,원장!$E:$E,증감분석!D$10)</f>
        <v>1100000</v>
      </c>
      <c r="E11" s="60">
        <f>SUMIFS(원장!$H:$H,원장!$A:$A,증감분석!$B11,원장!$D:$D,증감분석!E$9,원장!$E:$E,증감분석!E$10)</f>
        <v>0</v>
      </c>
      <c r="F11" s="60">
        <f>SUMIFS(원장!$H:$H,원장!$A:$A,증감분석!$B11,원장!$D:$D,증감분석!F$9,원장!$E:$E,증감분석!F$10)</f>
        <v>0</v>
      </c>
      <c r="G11" s="60">
        <f t="shared" ref="G11:G32" si="0">SUM(D11:F11)</f>
        <v>1100000</v>
      </c>
      <c r="H11" s="60">
        <f>SUMIFS(원장!$H:$H,원장!$A:$A,증감분석!$B11,원장!$D:$D,증감분석!H$9,원장!$E:$E,증감분석!H$10)</f>
        <v>-677400</v>
      </c>
      <c r="I11" s="60">
        <f>SUMIFS(원장!$H:$H,원장!$A:$A,증감분석!$B11,원장!$D:$D,증감분석!I$9,원장!$E:$E,증감분석!I$10)</f>
        <v>0</v>
      </c>
      <c r="J11" s="60">
        <f>SUMIFS(원장!$H:$H,원장!$A:$A,증감분석!$B11,원장!$D:$D,증감분석!J$9,원장!$E:$E,증감분석!J$10)</f>
        <v>0</v>
      </c>
      <c r="K11" s="60">
        <f>SUMIFS(원장!$H:$H,원장!$A:$A,증감분석!$B11,원장!$D:$D,증감분석!K$9,원장!$E:$E,증감분석!K$10)</f>
        <v>0</v>
      </c>
      <c r="L11" s="60">
        <f t="shared" ref="L11:L32" si="1">SUM(H11:K11)</f>
        <v>-677400</v>
      </c>
      <c r="M11" s="60">
        <f t="shared" ref="M11:M32" si="2">G11+L11</f>
        <v>422600</v>
      </c>
      <c r="N11" s="60">
        <f>SUM($M$11:M11)</f>
        <v>422600</v>
      </c>
      <c r="P11" s="56" t="str">
        <f t="shared" ref="P11:P32" si="3">B11</f>
        <v>24년 6월</v>
      </c>
      <c r="Q11" s="60">
        <f t="shared" ref="Q11:Q32" si="4">G11</f>
        <v>1100000</v>
      </c>
      <c r="R11" s="63">
        <f t="shared" ref="R11:R32" si="5">-L11</f>
        <v>677400</v>
      </c>
      <c r="S11" s="60">
        <f t="shared" ref="S11:S32" si="6">N11</f>
        <v>422600</v>
      </c>
    </row>
    <row r="12" spans="1:19" ht="16.5" customHeight="1" x14ac:dyDescent="0.3">
      <c r="B12" s="56" t="s">
        <v>29</v>
      </c>
      <c r="C12" s="3">
        <f ca="1">IF($B12=참고!$D$5,1,C13+1)</f>
        <v>21</v>
      </c>
      <c r="D12" s="60">
        <f>SUMIFS(원장!$H:$H,원장!$A:$A,증감분석!$B12,원장!$D:$D,증감분석!D$9,원장!$E:$E,증감분석!D$10)</f>
        <v>1300000</v>
      </c>
      <c r="E12" s="60">
        <f>SUMIFS(원장!$H:$H,원장!$A:$A,증감분석!$B12,원장!$D:$D,증감분석!E$9,원장!$E:$E,증감분석!E$10)</f>
        <v>0</v>
      </c>
      <c r="F12" s="60">
        <f>SUMIFS(원장!$H:$H,원장!$A:$A,증감분석!$B12,원장!$D:$D,증감분석!F$9,원장!$E:$E,증감분석!F$10)</f>
        <v>0</v>
      </c>
      <c r="G12" s="60">
        <f t="shared" si="0"/>
        <v>1300000</v>
      </c>
      <c r="H12" s="60">
        <f>SUMIFS(원장!$H:$H,원장!$A:$A,증감분석!$B12,원장!$D:$D,증감분석!H$9,원장!$E:$E,증감분석!H$10)</f>
        <v>-547800</v>
      </c>
      <c r="I12" s="60">
        <f>SUMIFS(원장!$H:$H,원장!$A:$A,증감분석!$B12,원장!$D:$D,증감분석!I$9,원장!$E:$E,증감분석!I$10)</f>
        <v>0</v>
      </c>
      <c r="J12" s="60">
        <f>SUMIFS(원장!$H:$H,원장!$A:$A,증감분석!$B12,원장!$D:$D,증감분석!J$9,원장!$E:$E,증감분석!J$10)</f>
        <v>0</v>
      </c>
      <c r="K12" s="60">
        <f>SUMIFS(원장!$H:$H,원장!$A:$A,증감분석!$B12,원장!$D:$D,증감분석!K$9,원장!$E:$E,증감분석!K$10)</f>
        <v>0</v>
      </c>
      <c r="L12" s="60">
        <f t="shared" si="1"/>
        <v>-547800</v>
      </c>
      <c r="M12" s="60">
        <f t="shared" si="2"/>
        <v>752200</v>
      </c>
      <c r="N12" s="60">
        <f>SUM($M$11:M12)</f>
        <v>1174800</v>
      </c>
      <c r="P12" s="56" t="str">
        <f t="shared" si="3"/>
        <v>24년 7월</v>
      </c>
      <c r="Q12" s="60">
        <f t="shared" si="4"/>
        <v>1300000</v>
      </c>
      <c r="R12" s="63">
        <f t="shared" si="5"/>
        <v>547800</v>
      </c>
      <c r="S12" s="60">
        <f t="shared" si="6"/>
        <v>1174800</v>
      </c>
    </row>
    <row r="13" spans="1:19" ht="16.5" customHeight="1" x14ac:dyDescent="0.3">
      <c r="B13" s="56" t="s">
        <v>30</v>
      </c>
      <c r="C13" s="3">
        <f ca="1">IF($B13=참고!$D$5,1,C14+1)</f>
        <v>20</v>
      </c>
      <c r="D13" s="60">
        <f>SUMIFS(원장!$H:$H,원장!$A:$A,증감분석!$B13,원장!$D:$D,증감분석!D$9,원장!$E:$E,증감분석!D$10)</f>
        <v>1400000</v>
      </c>
      <c r="E13" s="60">
        <f>SUMIFS(원장!$H:$H,원장!$A:$A,증감분석!$B13,원장!$D:$D,증감분석!E$9,원장!$E:$E,증감분석!E$10)</f>
        <v>0</v>
      </c>
      <c r="F13" s="60">
        <f>SUMIFS(원장!$H:$H,원장!$A:$A,증감분석!$B13,원장!$D:$D,증감분석!F$9,원장!$E:$E,증감분석!F$10)</f>
        <v>0</v>
      </c>
      <c r="G13" s="60">
        <f t="shared" si="0"/>
        <v>1400000</v>
      </c>
      <c r="H13" s="60">
        <f>SUMIFS(원장!$H:$H,원장!$A:$A,증감분석!$B13,원장!$D:$D,증감분석!H$9,원장!$E:$E,증감분석!H$10)</f>
        <v>-411200</v>
      </c>
      <c r="I13" s="60">
        <f>SUMIFS(원장!$H:$H,원장!$A:$A,증감분석!$B13,원장!$D:$D,증감분석!I$9,원장!$E:$E,증감분석!I$10)</f>
        <v>0</v>
      </c>
      <c r="J13" s="60">
        <f>SUMIFS(원장!$H:$H,원장!$A:$A,증감분석!$B13,원장!$D:$D,증감분석!J$9,원장!$E:$E,증감분석!J$10)</f>
        <v>0</v>
      </c>
      <c r="K13" s="60">
        <f>SUMIFS(원장!$H:$H,원장!$A:$A,증감분석!$B13,원장!$D:$D,증감분석!K$9,원장!$E:$E,증감분석!K$10)</f>
        <v>0</v>
      </c>
      <c r="L13" s="60">
        <f t="shared" si="1"/>
        <v>-411200</v>
      </c>
      <c r="M13" s="60">
        <f t="shared" si="2"/>
        <v>988800</v>
      </c>
      <c r="N13" s="60">
        <f>SUM($M$11:M13)</f>
        <v>2163600</v>
      </c>
      <c r="P13" s="56" t="str">
        <f t="shared" si="3"/>
        <v>24년 8월</v>
      </c>
      <c r="Q13" s="60">
        <f t="shared" si="4"/>
        <v>1400000</v>
      </c>
      <c r="R13" s="63">
        <f t="shared" si="5"/>
        <v>411200</v>
      </c>
      <c r="S13" s="60">
        <f t="shared" si="6"/>
        <v>2163600</v>
      </c>
    </row>
    <row r="14" spans="1:19" ht="16.5" customHeight="1" x14ac:dyDescent="0.3">
      <c r="B14" s="56" t="s">
        <v>31</v>
      </c>
      <c r="C14" s="3">
        <f ca="1">IF($B14=참고!$D$5,1,C15+1)</f>
        <v>19</v>
      </c>
      <c r="D14" s="60">
        <f>SUMIFS(원장!$H:$H,원장!$A:$A,증감분석!$B14,원장!$D:$D,증감분석!D$9,원장!$E:$E,증감분석!D$10)</f>
        <v>1300000</v>
      </c>
      <c r="E14" s="60">
        <f>SUMIFS(원장!$H:$H,원장!$A:$A,증감분석!$B14,원장!$D:$D,증감분석!E$9,원장!$E:$E,증감분석!E$10)</f>
        <v>0</v>
      </c>
      <c r="F14" s="60">
        <f>SUMIFS(원장!$H:$H,원장!$A:$A,증감분석!$B14,원장!$D:$D,증감분석!F$9,원장!$E:$E,증감분석!F$10)</f>
        <v>0</v>
      </c>
      <c r="G14" s="60">
        <f t="shared" si="0"/>
        <v>1300000</v>
      </c>
      <c r="H14" s="60">
        <f>SUMIFS(원장!$H:$H,원장!$A:$A,증감분석!$B14,원장!$D:$D,증감분석!H$9,원장!$E:$E,증감분석!H$10)</f>
        <v>-2053800</v>
      </c>
      <c r="I14" s="60">
        <f>SUMIFS(원장!$H:$H,원장!$A:$A,증감분석!$B14,원장!$D:$D,증감분석!I$9,원장!$E:$E,증감분석!I$10)</f>
        <v>0</v>
      </c>
      <c r="J14" s="60">
        <f>SUMIFS(원장!$H:$H,원장!$A:$A,증감분석!$B14,원장!$D:$D,증감분석!J$9,원장!$E:$E,증감분석!J$10)</f>
        <v>0</v>
      </c>
      <c r="K14" s="60">
        <f>SUMIFS(원장!$H:$H,원장!$A:$A,증감분석!$B14,원장!$D:$D,증감분석!K$9,원장!$E:$E,증감분석!K$10)</f>
        <v>0</v>
      </c>
      <c r="L14" s="60">
        <f t="shared" si="1"/>
        <v>-2053800</v>
      </c>
      <c r="M14" s="60">
        <f t="shared" si="2"/>
        <v>-753800</v>
      </c>
      <c r="N14" s="60">
        <f>SUM($M$11:M14)</f>
        <v>1409800</v>
      </c>
      <c r="P14" s="56" t="str">
        <f t="shared" si="3"/>
        <v>24년 9월</v>
      </c>
      <c r="Q14" s="60">
        <f t="shared" si="4"/>
        <v>1300000</v>
      </c>
      <c r="R14" s="63">
        <f t="shared" si="5"/>
        <v>2053800</v>
      </c>
      <c r="S14" s="60">
        <f t="shared" si="6"/>
        <v>1409800</v>
      </c>
    </row>
    <row r="15" spans="1:19" ht="16.5" customHeight="1" x14ac:dyDescent="0.3">
      <c r="B15" s="56" t="s">
        <v>32</v>
      </c>
      <c r="C15" s="3">
        <f ca="1">IF($B15=참고!$D$5,1,C16+1)</f>
        <v>18</v>
      </c>
      <c r="D15" s="60">
        <f>SUMIFS(원장!$H:$H,원장!$A:$A,증감분석!$B15,원장!$D:$D,증감분석!D$9,원장!$E:$E,증감분석!D$10)</f>
        <v>1300000</v>
      </c>
      <c r="E15" s="60">
        <f>SUMIFS(원장!$H:$H,원장!$A:$A,증감분석!$B15,원장!$D:$D,증감분석!E$9,원장!$E:$E,증감분석!E$10)</f>
        <v>0</v>
      </c>
      <c r="F15" s="60">
        <f>SUMIFS(원장!$H:$H,원장!$A:$A,증감분석!$B15,원장!$D:$D,증감분석!F$9,원장!$E:$E,증감분석!F$10)</f>
        <v>0</v>
      </c>
      <c r="G15" s="60">
        <f t="shared" si="0"/>
        <v>1300000</v>
      </c>
      <c r="H15" s="60">
        <f>SUMIFS(원장!$H:$H,원장!$A:$A,증감분석!$B15,원장!$D:$D,증감분석!H$9,원장!$E:$E,증감분석!H$10)</f>
        <v>-573000</v>
      </c>
      <c r="I15" s="60">
        <f>SUMIFS(원장!$H:$H,원장!$A:$A,증감분석!$B15,원장!$D:$D,증감분석!I$9,원장!$E:$E,증감분석!I$10)</f>
        <v>0</v>
      </c>
      <c r="J15" s="60">
        <f>SUMIFS(원장!$H:$H,원장!$A:$A,증감분석!$B15,원장!$D:$D,증감분석!J$9,원장!$E:$E,증감분석!J$10)</f>
        <v>-1000000</v>
      </c>
      <c r="K15" s="60">
        <f>SUMIFS(원장!$H:$H,원장!$A:$A,증감분석!$B15,원장!$D:$D,증감분석!K$9,원장!$E:$E,증감분석!K$10)</f>
        <v>0</v>
      </c>
      <c r="L15" s="60">
        <f t="shared" si="1"/>
        <v>-1573000</v>
      </c>
      <c r="M15" s="60">
        <f t="shared" si="2"/>
        <v>-273000</v>
      </c>
      <c r="N15" s="60">
        <f>SUM($M$11:M15)</f>
        <v>1136800</v>
      </c>
      <c r="P15" s="56" t="str">
        <f t="shared" si="3"/>
        <v>24년 10월</v>
      </c>
      <c r="Q15" s="60">
        <f t="shared" si="4"/>
        <v>1300000</v>
      </c>
      <c r="R15" s="63">
        <f t="shared" si="5"/>
        <v>1573000</v>
      </c>
      <c r="S15" s="60">
        <f t="shared" si="6"/>
        <v>1136800</v>
      </c>
    </row>
    <row r="16" spans="1:19" ht="16.5" customHeight="1" x14ac:dyDescent="0.3">
      <c r="B16" s="56" t="s">
        <v>33</v>
      </c>
      <c r="C16" s="3">
        <f ca="1">IF($B16=참고!$D$5,1,C17+1)</f>
        <v>17</v>
      </c>
      <c r="D16" s="60">
        <f>SUMIFS(원장!$H:$H,원장!$A:$A,증감분석!$B16,원장!$D:$D,증감분석!D$9,원장!$E:$E,증감분석!D$10)</f>
        <v>1300000</v>
      </c>
      <c r="E16" s="60">
        <f>SUMIFS(원장!$H:$H,원장!$A:$A,증감분석!$B16,원장!$D:$D,증감분석!E$9,원장!$E:$E,증감분석!E$10)</f>
        <v>0</v>
      </c>
      <c r="F16" s="60">
        <f>SUMIFS(원장!$H:$H,원장!$A:$A,증감분석!$B16,원장!$D:$D,증감분석!F$9,원장!$E:$E,증감분석!F$10)</f>
        <v>0</v>
      </c>
      <c r="G16" s="60">
        <f t="shared" si="0"/>
        <v>1300000</v>
      </c>
      <c r="H16" s="60">
        <f>SUMIFS(원장!$H:$H,원장!$A:$A,증감분석!$B16,원장!$D:$D,증감분석!H$9,원장!$E:$E,증감분석!H$10)</f>
        <v>-565810</v>
      </c>
      <c r="I16" s="60">
        <f>SUMIFS(원장!$H:$H,원장!$A:$A,증감분석!$B16,원장!$D:$D,증감분석!I$9,원장!$E:$E,증감분석!I$10)</f>
        <v>0</v>
      </c>
      <c r="J16" s="60">
        <f>SUMIFS(원장!$H:$H,원장!$A:$A,증감분석!$B16,원장!$D:$D,증감분석!J$9,원장!$E:$E,증감분석!J$10)</f>
        <v>-92100</v>
      </c>
      <c r="K16" s="60">
        <f>SUMIFS(원장!$H:$H,원장!$A:$A,증감분석!$B16,원장!$D:$D,증감분석!K$9,원장!$E:$E,증감분석!K$10)</f>
        <v>0</v>
      </c>
      <c r="L16" s="60">
        <f t="shared" si="1"/>
        <v>-657910</v>
      </c>
      <c r="M16" s="60">
        <f t="shared" si="2"/>
        <v>642090</v>
      </c>
      <c r="N16" s="60">
        <f>SUM($M$11:M16)</f>
        <v>1778890</v>
      </c>
      <c r="P16" s="56" t="str">
        <f t="shared" si="3"/>
        <v>24년 11월</v>
      </c>
      <c r="Q16" s="60">
        <f t="shared" si="4"/>
        <v>1300000</v>
      </c>
      <c r="R16" s="63">
        <f t="shared" si="5"/>
        <v>657910</v>
      </c>
      <c r="S16" s="60">
        <f t="shared" si="6"/>
        <v>1778890</v>
      </c>
    </row>
    <row r="17" spans="2:19" ht="16.5" customHeight="1" x14ac:dyDescent="0.3">
      <c r="B17" s="56" t="s">
        <v>34</v>
      </c>
      <c r="C17" s="3">
        <f ca="1">IF($B17=참고!$D$5,1,C18+1)</f>
        <v>16</v>
      </c>
      <c r="D17" s="60">
        <f>SUMIFS(원장!$H:$H,원장!$A:$A,증감분석!$B17,원장!$D:$D,증감분석!D$9,원장!$E:$E,증감분석!D$10)</f>
        <v>1600000</v>
      </c>
      <c r="E17" s="60">
        <f>SUMIFS(원장!$H:$H,원장!$A:$A,증감분석!$B17,원장!$D:$D,증감분석!E$9,원장!$E:$E,증감분석!E$10)</f>
        <v>0</v>
      </c>
      <c r="F17" s="60">
        <f>SUMIFS(원장!$H:$H,원장!$A:$A,증감분석!$B17,원장!$D:$D,증감분석!F$9,원장!$E:$E,증감분석!F$10)</f>
        <v>1438</v>
      </c>
      <c r="G17" s="60">
        <f t="shared" si="0"/>
        <v>1601438</v>
      </c>
      <c r="H17" s="60">
        <f>SUMIFS(원장!$H:$H,원장!$A:$A,증감분석!$B17,원장!$D:$D,증감분석!H$9,원장!$E:$E,증감분석!H$10)</f>
        <v>-1627000</v>
      </c>
      <c r="I17" s="60">
        <f>SUMIFS(원장!$H:$H,원장!$A:$A,증감분석!$B17,원장!$D:$D,증감분석!I$9,원장!$E:$E,증감분석!I$10)</f>
        <v>0</v>
      </c>
      <c r="J17" s="60">
        <f>SUMIFS(원장!$H:$H,원장!$A:$A,증감분석!$B17,원장!$D:$D,증감분석!J$9,원장!$E:$E,증감분석!J$10)</f>
        <v>-1000000</v>
      </c>
      <c r="K17" s="60">
        <f>SUMIFS(원장!$H:$H,원장!$A:$A,증감분석!$B17,원장!$D:$D,증감분석!K$9,원장!$E:$E,증감분석!K$10)</f>
        <v>0</v>
      </c>
      <c r="L17" s="60">
        <f t="shared" si="1"/>
        <v>-2627000</v>
      </c>
      <c r="M17" s="60">
        <f t="shared" si="2"/>
        <v>-1025562</v>
      </c>
      <c r="N17" s="60">
        <f>SUM($M$11:M17)</f>
        <v>753328</v>
      </c>
      <c r="P17" s="56" t="str">
        <f t="shared" si="3"/>
        <v>24년 12월</v>
      </c>
      <c r="Q17" s="60">
        <f t="shared" si="4"/>
        <v>1601438</v>
      </c>
      <c r="R17" s="63">
        <f t="shared" si="5"/>
        <v>2627000</v>
      </c>
      <c r="S17" s="60">
        <f t="shared" si="6"/>
        <v>753328</v>
      </c>
    </row>
    <row r="18" spans="2:19" ht="16.5" customHeight="1" x14ac:dyDescent="0.3">
      <c r="B18" s="56" t="s">
        <v>35</v>
      </c>
      <c r="C18" s="3">
        <f ca="1">IF($B18=참고!$D$5,1,C19+1)</f>
        <v>15</v>
      </c>
      <c r="D18" s="60">
        <f>SUMIFS(원장!$H:$H,원장!$A:$A,증감분석!$B18,원장!$D:$D,증감분석!D$9,원장!$E:$E,증감분석!D$10)</f>
        <v>1700000</v>
      </c>
      <c r="E18" s="60">
        <f>SUMIFS(원장!$H:$H,원장!$A:$A,증감분석!$B18,원장!$D:$D,증감분석!E$9,원장!$E:$E,증감분석!E$10)</f>
        <v>0</v>
      </c>
      <c r="F18" s="60">
        <f>SUMIFS(원장!$H:$H,원장!$A:$A,증감분석!$B18,원장!$D:$D,증감분석!F$9,원장!$E:$E,증감분석!F$10)</f>
        <v>166</v>
      </c>
      <c r="G18" s="60">
        <f t="shared" si="0"/>
        <v>1700166</v>
      </c>
      <c r="H18" s="60">
        <f>SUMIFS(원장!$H:$H,원장!$A:$A,증감분석!$B18,원장!$D:$D,증감분석!H$9,원장!$E:$E,증감분석!H$10)</f>
        <v>-867300</v>
      </c>
      <c r="I18" s="60">
        <f>SUMIFS(원장!$H:$H,원장!$A:$A,증감분석!$B18,원장!$D:$D,증감분석!I$9,원장!$E:$E,증감분석!I$10)</f>
        <v>0</v>
      </c>
      <c r="J18" s="60">
        <f>SUMIFS(원장!$H:$H,원장!$A:$A,증감분석!$B18,원장!$D:$D,증감분석!J$9,원장!$E:$E,증감분석!J$10)</f>
        <v>-400000</v>
      </c>
      <c r="K18" s="60">
        <f>SUMIFS(원장!$H:$H,원장!$A:$A,증감분석!$B18,원장!$D:$D,증감분석!K$9,원장!$E:$E,증감분석!K$10)</f>
        <v>0</v>
      </c>
      <c r="L18" s="60">
        <f t="shared" si="1"/>
        <v>-1267300</v>
      </c>
      <c r="M18" s="60">
        <f t="shared" si="2"/>
        <v>432866</v>
      </c>
      <c r="N18" s="60">
        <f>SUM($M$11:M18)</f>
        <v>1186194</v>
      </c>
      <c r="P18" s="56" t="str">
        <f t="shared" si="3"/>
        <v>25년 1월</v>
      </c>
      <c r="Q18" s="60">
        <f t="shared" si="4"/>
        <v>1700166</v>
      </c>
      <c r="R18" s="63">
        <f t="shared" si="5"/>
        <v>1267300</v>
      </c>
      <c r="S18" s="60">
        <f t="shared" si="6"/>
        <v>1186194</v>
      </c>
    </row>
    <row r="19" spans="2:19" ht="16.5" customHeight="1" x14ac:dyDescent="0.3">
      <c r="B19" s="56" t="s">
        <v>36</v>
      </c>
      <c r="C19" s="3">
        <f ca="1">IF($B19=참고!$D$5,1,C20+1)</f>
        <v>14</v>
      </c>
      <c r="D19" s="60">
        <f>SUMIFS(원장!$H:$H,원장!$A:$A,증감분석!$B19,원장!$D:$D,증감분석!D$9,원장!$E:$E,증감분석!D$10)</f>
        <v>1700000</v>
      </c>
      <c r="E19" s="60">
        <f>SUMIFS(원장!$H:$H,원장!$A:$A,증감분석!$B19,원장!$D:$D,증감분석!E$9,원장!$E:$E,증감분석!E$10)</f>
        <v>0</v>
      </c>
      <c r="F19" s="60">
        <f>SUMIFS(원장!$H:$H,원장!$A:$A,증감분석!$B19,원장!$D:$D,증감분석!F$9,원장!$E:$E,증감분석!F$10)</f>
        <v>266</v>
      </c>
      <c r="G19" s="60">
        <f t="shared" si="0"/>
        <v>1700266</v>
      </c>
      <c r="H19" s="60">
        <f>SUMIFS(원장!$H:$H,원장!$A:$A,증감분석!$B19,원장!$D:$D,증감분석!H$9,원장!$E:$E,증감분석!H$10)</f>
        <v>-320800</v>
      </c>
      <c r="I19" s="60">
        <f>SUMIFS(원장!$H:$H,원장!$A:$A,증감분석!$B19,원장!$D:$D,증감분석!I$9,원장!$E:$E,증감분석!I$10)</f>
        <v>0</v>
      </c>
      <c r="J19" s="60">
        <f>SUMIFS(원장!$H:$H,원장!$A:$A,증감분석!$B19,원장!$D:$D,증감분석!J$9,원장!$E:$E,증감분석!J$10)</f>
        <v>-100000</v>
      </c>
      <c r="K19" s="60">
        <f>SUMIFS(원장!$H:$H,원장!$A:$A,증감분석!$B19,원장!$D:$D,증감분석!K$9,원장!$E:$E,증감분석!K$10)</f>
        <v>0</v>
      </c>
      <c r="L19" s="60">
        <f t="shared" si="1"/>
        <v>-420800</v>
      </c>
      <c r="M19" s="60">
        <f t="shared" si="2"/>
        <v>1279466</v>
      </c>
      <c r="N19" s="60">
        <f>SUM($M$11:M19)</f>
        <v>2465660</v>
      </c>
      <c r="P19" s="56" t="str">
        <f t="shared" si="3"/>
        <v>25년 2월</v>
      </c>
      <c r="Q19" s="60">
        <f t="shared" si="4"/>
        <v>1700266</v>
      </c>
      <c r="R19" s="63">
        <f t="shared" si="5"/>
        <v>420800</v>
      </c>
      <c r="S19" s="60">
        <f t="shared" si="6"/>
        <v>2465660</v>
      </c>
    </row>
    <row r="20" spans="2:19" ht="16.5" customHeight="1" x14ac:dyDescent="0.3">
      <c r="B20" s="56" t="s">
        <v>37</v>
      </c>
      <c r="C20" s="3">
        <f ca="1">IF($B20=참고!$D$5,1,C21+1)</f>
        <v>13</v>
      </c>
      <c r="D20" s="60">
        <f>SUMIFS(원장!$H:$H,원장!$A:$A,증감분석!$B20,원장!$D:$D,증감분석!D$9,원장!$E:$E,증감분석!D$10)</f>
        <v>1700000</v>
      </c>
      <c r="E20" s="60">
        <f>SUMIFS(원장!$H:$H,원장!$A:$A,증감분석!$B20,원장!$D:$D,증감분석!E$9,원장!$E:$E,증감분석!E$10)</f>
        <v>0</v>
      </c>
      <c r="F20" s="60">
        <f>SUMIFS(원장!$H:$H,원장!$A:$A,증감분석!$B20,원장!$D:$D,증감분석!F$9,원장!$E:$E,증감분석!F$10)</f>
        <v>253</v>
      </c>
      <c r="G20" s="60">
        <f t="shared" si="0"/>
        <v>1700253</v>
      </c>
      <c r="H20" s="60">
        <f>SUMIFS(원장!$H:$H,원장!$A:$A,증감분석!$B20,원장!$D:$D,증감분석!H$9,원장!$E:$E,증감분석!H$10)</f>
        <v>-1086770</v>
      </c>
      <c r="I20" s="60">
        <f>SUMIFS(원장!$H:$H,원장!$A:$A,증감분석!$B20,원장!$D:$D,증감분석!I$9,원장!$E:$E,증감분석!I$10)</f>
        <v>0</v>
      </c>
      <c r="J20" s="60">
        <f>SUMIFS(원장!$H:$H,원장!$A:$A,증감분석!$B20,원장!$D:$D,증감분석!J$9,원장!$E:$E,증감분석!J$10)</f>
        <v>0</v>
      </c>
      <c r="K20" s="60">
        <f>SUMIFS(원장!$H:$H,원장!$A:$A,증감분석!$B20,원장!$D:$D,증감분석!K$9,원장!$E:$E,증감분석!K$10)</f>
        <v>0</v>
      </c>
      <c r="L20" s="60">
        <f t="shared" si="1"/>
        <v>-1086770</v>
      </c>
      <c r="M20" s="60">
        <f t="shared" si="2"/>
        <v>613483</v>
      </c>
      <c r="N20" s="60">
        <f>SUM($M$11:M20)</f>
        <v>3079143</v>
      </c>
      <c r="P20" s="56" t="str">
        <f t="shared" si="3"/>
        <v>25년 3월</v>
      </c>
      <c r="Q20" s="60">
        <f t="shared" si="4"/>
        <v>1700253</v>
      </c>
      <c r="R20" s="63">
        <f t="shared" si="5"/>
        <v>1086770</v>
      </c>
      <c r="S20" s="60">
        <f t="shared" si="6"/>
        <v>3079143</v>
      </c>
    </row>
    <row r="21" spans="2:19" ht="16.5" customHeight="1" x14ac:dyDescent="0.3">
      <c r="B21" s="56" t="s">
        <v>38</v>
      </c>
      <c r="C21" s="3">
        <f ca="1">IF($B21=참고!$D$5,1,C22+1)</f>
        <v>12</v>
      </c>
      <c r="D21" s="60">
        <f>SUMIFS(원장!$H:$H,원장!$A:$A,증감분석!$B21,원장!$D:$D,증감분석!D$9,원장!$E:$E,증감분석!D$10)</f>
        <v>1700000</v>
      </c>
      <c r="E21" s="60">
        <f>SUMIFS(원장!$H:$H,원장!$A:$A,증감분석!$B21,원장!$D:$D,증감분석!E$9,원장!$E:$E,증감분석!E$10)</f>
        <v>0</v>
      </c>
      <c r="F21" s="60">
        <f>SUMIFS(원장!$H:$H,원장!$A:$A,증감분석!$B21,원장!$D:$D,증감분석!F$9,원장!$E:$E,증감분석!F$10)</f>
        <v>0</v>
      </c>
      <c r="G21" s="60">
        <f t="shared" si="0"/>
        <v>1700000</v>
      </c>
      <c r="H21" s="60">
        <f>SUMIFS(원장!$H:$H,원장!$A:$A,증감분석!$B21,원장!$D:$D,증감분석!H$9,원장!$E:$E,증감분석!H$10)</f>
        <v>-1276000</v>
      </c>
      <c r="I21" s="60">
        <f>SUMIFS(원장!$H:$H,원장!$A:$A,증감분석!$B21,원장!$D:$D,증감분석!I$9,원장!$E:$E,증감분석!I$10)</f>
        <v>0</v>
      </c>
      <c r="J21" s="60">
        <f>SUMIFS(원장!$H:$H,원장!$A:$A,증감분석!$B21,원장!$D:$D,증감분석!J$9,원장!$E:$E,증감분석!J$10)</f>
        <v>0</v>
      </c>
      <c r="K21" s="60">
        <f>SUMIFS(원장!$H:$H,원장!$A:$A,증감분석!$B21,원장!$D:$D,증감분석!K$9,원장!$E:$E,증감분석!K$10)</f>
        <v>0</v>
      </c>
      <c r="L21" s="60">
        <f t="shared" si="1"/>
        <v>-1276000</v>
      </c>
      <c r="M21" s="60">
        <f t="shared" si="2"/>
        <v>424000</v>
      </c>
      <c r="N21" s="60">
        <f>SUM($M$11:M21)</f>
        <v>3503143</v>
      </c>
      <c r="P21" s="56" t="str">
        <f t="shared" si="3"/>
        <v>25년 4월</v>
      </c>
      <c r="Q21" s="60">
        <f t="shared" si="4"/>
        <v>1700000</v>
      </c>
      <c r="R21" s="63">
        <f t="shared" si="5"/>
        <v>1276000</v>
      </c>
      <c r="S21" s="60">
        <f t="shared" si="6"/>
        <v>3503143</v>
      </c>
    </row>
    <row r="22" spans="2:19" ht="16.5" customHeight="1" x14ac:dyDescent="0.3">
      <c r="B22" s="56" t="s">
        <v>39</v>
      </c>
      <c r="C22" s="3">
        <f ca="1">IF($B22=참고!$D$5,1,C23+1)</f>
        <v>11</v>
      </c>
      <c r="D22" s="60">
        <f>SUMIFS(원장!$H:$H,원장!$A:$A,증감분석!$B22,원장!$D:$D,증감분석!D$9,원장!$E:$E,증감분석!D$10)</f>
        <v>1700000</v>
      </c>
      <c r="E22" s="60">
        <f>SUMIFS(원장!$H:$H,원장!$A:$A,증감분석!$B22,원장!$D:$D,증감분석!E$9,원장!$E:$E,증감분석!E$10)</f>
        <v>0</v>
      </c>
      <c r="F22" s="60">
        <f>SUMIFS(원장!$H:$H,원장!$A:$A,증감분석!$B22,원장!$D:$D,증감분석!F$9,원장!$E:$E,증감분석!F$10)</f>
        <v>944</v>
      </c>
      <c r="G22" s="60">
        <f t="shared" si="0"/>
        <v>1700944</v>
      </c>
      <c r="H22" s="60">
        <f>SUMIFS(원장!$H:$H,원장!$A:$A,증감분석!$B22,원장!$D:$D,증감분석!H$9,원장!$E:$E,증감분석!H$10)</f>
        <v>-1046000</v>
      </c>
      <c r="I22" s="60">
        <f>SUMIFS(원장!$H:$H,원장!$A:$A,증감분석!$B22,원장!$D:$D,증감분석!I$9,원장!$E:$E,증감분석!I$10)</f>
        <v>0</v>
      </c>
      <c r="J22" s="60">
        <f>SUMIFS(원장!$H:$H,원장!$A:$A,증감분석!$B22,원장!$D:$D,증감분석!J$9,원장!$E:$E,증감분석!J$10)</f>
        <v>-607500</v>
      </c>
      <c r="K22" s="60">
        <f>SUMIFS(원장!$H:$H,원장!$A:$A,증감분석!$B22,원장!$D:$D,증감분석!K$9,원장!$E:$E,증감분석!K$10)</f>
        <v>0</v>
      </c>
      <c r="L22" s="60">
        <f t="shared" si="1"/>
        <v>-1653500</v>
      </c>
      <c r="M22" s="60">
        <f t="shared" si="2"/>
        <v>47444</v>
      </c>
      <c r="N22" s="60">
        <f>SUM($M$11:M22)</f>
        <v>3550587</v>
      </c>
      <c r="P22" s="56" t="str">
        <f t="shared" si="3"/>
        <v>25년 5월</v>
      </c>
      <c r="Q22" s="60">
        <f t="shared" si="4"/>
        <v>1700944</v>
      </c>
      <c r="R22" s="63">
        <f t="shared" si="5"/>
        <v>1653500</v>
      </c>
      <c r="S22" s="60">
        <f t="shared" si="6"/>
        <v>3550587</v>
      </c>
    </row>
    <row r="23" spans="2:19" ht="16.5" customHeight="1" x14ac:dyDescent="0.3">
      <c r="B23" s="56" t="s">
        <v>40</v>
      </c>
      <c r="C23" s="3">
        <f ca="1">IF($B23=참고!$D$5,1,C24+1)</f>
        <v>10</v>
      </c>
      <c r="D23" s="60">
        <f>SUMIFS(원장!$H:$H,원장!$A:$A,증감분석!$B23,원장!$D:$D,증감분석!D$9,원장!$E:$E,증감분석!D$10)</f>
        <v>1700000</v>
      </c>
      <c r="E23" s="60">
        <f>SUMIFS(원장!$H:$H,원장!$A:$A,증감분석!$B23,원장!$D:$D,증감분석!E$9,원장!$E:$E,증감분석!E$10)</f>
        <v>0</v>
      </c>
      <c r="F23" s="60">
        <f>SUMIFS(원장!$H:$H,원장!$A:$A,증감분석!$B23,원장!$D:$D,증감분석!F$9,원장!$E:$E,증감분석!F$10)</f>
        <v>426</v>
      </c>
      <c r="G23" s="60">
        <f t="shared" si="0"/>
        <v>1700426</v>
      </c>
      <c r="H23" s="60">
        <f>SUMIFS(원장!$H:$H,원장!$A:$A,증감분석!$B23,원장!$D:$D,증감분석!H$9,원장!$E:$E,증감분석!H$10)</f>
        <v>-833400</v>
      </c>
      <c r="I23" s="60">
        <f>SUMIFS(원장!$H:$H,원장!$A:$A,증감분석!$B23,원장!$D:$D,증감분석!I$9,원장!$E:$E,증감분석!I$10)</f>
        <v>-870000</v>
      </c>
      <c r="J23" s="60">
        <f>SUMIFS(원장!$H:$H,원장!$A:$A,증감분석!$B23,원장!$D:$D,증감분석!J$9,원장!$E:$E,증감분석!J$10)</f>
        <v>0</v>
      </c>
      <c r="K23" s="60">
        <f>SUMIFS(원장!$H:$H,원장!$A:$A,증감분석!$B23,원장!$D:$D,증감분석!K$9,원장!$E:$E,증감분석!K$10)</f>
        <v>0</v>
      </c>
      <c r="L23" s="60">
        <f t="shared" si="1"/>
        <v>-1703400</v>
      </c>
      <c r="M23" s="60">
        <f t="shared" si="2"/>
        <v>-2974</v>
      </c>
      <c r="N23" s="60">
        <f>SUM($M$11:M23)</f>
        <v>3547613</v>
      </c>
      <c r="P23" s="56" t="str">
        <f t="shared" si="3"/>
        <v>25년 6월</v>
      </c>
      <c r="Q23" s="60">
        <f t="shared" si="4"/>
        <v>1700426</v>
      </c>
      <c r="R23" s="63">
        <f t="shared" si="5"/>
        <v>1703400</v>
      </c>
      <c r="S23" s="60">
        <f t="shared" si="6"/>
        <v>3547613</v>
      </c>
    </row>
    <row r="24" spans="2:19" ht="16.5" customHeight="1" x14ac:dyDescent="0.3">
      <c r="B24" s="56" t="s">
        <v>41</v>
      </c>
      <c r="C24" s="3">
        <f ca="1">IF($B24=참고!$D$5,1,C25+1)</f>
        <v>9</v>
      </c>
      <c r="D24" s="60">
        <f>SUMIFS(원장!$H:$H,원장!$A:$A,증감분석!$B24,원장!$D:$D,증감분석!D$9,원장!$E:$E,증감분석!D$10)</f>
        <v>1800000</v>
      </c>
      <c r="E24" s="60">
        <f>SUMIFS(원장!$H:$H,원장!$A:$A,증감분석!$B24,원장!$D:$D,증감분석!E$9,원장!$E:$E,증감분석!E$10)</f>
        <v>30000</v>
      </c>
      <c r="F24" s="60">
        <f>SUMIFS(원장!$H:$H,원장!$A:$A,증감분석!$B24,원장!$D:$D,증감분석!F$9,원장!$E:$E,증감분석!F$10)</f>
        <v>671</v>
      </c>
      <c r="G24" s="60">
        <f t="shared" si="0"/>
        <v>1830671</v>
      </c>
      <c r="H24" s="60">
        <f>SUMIFS(원장!$H:$H,원장!$A:$A,증감분석!$B24,원장!$D:$D,증감분석!H$9,원장!$E:$E,증감분석!H$10)</f>
        <v>-718000</v>
      </c>
      <c r="I24" s="60">
        <f>SUMIFS(원장!$H:$H,원장!$A:$A,증감분석!$B24,원장!$D:$D,증감분석!I$9,원장!$E:$E,증감분석!I$10)</f>
        <v>0</v>
      </c>
      <c r="J24" s="60">
        <f>SUMIFS(원장!$H:$H,원장!$A:$A,증감분석!$B24,원장!$D:$D,증감분석!J$9,원장!$E:$E,증감분석!J$10)</f>
        <v>0</v>
      </c>
      <c r="K24" s="60">
        <f>SUMIFS(원장!$H:$H,원장!$A:$A,증감분석!$B24,원장!$D:$D,증감분석!K$9,원장!$E:$E,증감분석!K$10)</f>
        <v>0</v>
      </c>
      <c r="L24" s="60">
        <f t="shared" si="1"/>
        <v>-718000</v>
      </c>
      <c r="M24" s="60">
        <f t="shared" si="2"/>
        <v>1112671</v>
      </c>
      <c r="N24" s="60">
        <f>SUM($M$11:M24)</f>
        <v>4660284</v>
      </c>
      <c r="P24" s="56" t="str">
        <f t="shared" si="3"/>
        <v>25년 7월</v>
      </c>
      <c r="Q24" s="60">
        <f t="shared" si="4"/>
        <v>1830671</v>
      </c>
      <c r="R24" s="63">
        <f t="shared" si="5"/>
        <v>718000</v>
      </c>
      <c r="S24" s="60">
        <f t="shared" si="6"/>
        <v>4660284</v>
      </c>
    </row>
    <row r="25" spans="2:19" ht="16.5" customHeight="1" x14ac:dyDescent="0.3">
      <c r="B25" s="56" t="s">
        <v>42</v>
      </c>
      <c r="C25" s="3">
        <f ca="1">IF($B25=참고!$D$5,1,C26+1)</f>
        <v>8</v>
      </c>
      <c r="D25" s="60">
        <f>SUMIFS(원장!$H:$H,원장!$A:$A,증감분석!$B25,원장!$D:$D,증감분석!D$9,원장!$E:$E,증감분석!D$10)</f>
        <v>1800000</v>
      </c>
      <c r="E25" s="60">
        <f>SUMIFS(원장!$H:$H,원장!$A:$A,증감분석!$B25,원장!$D:$D,증감분석!E$9,원장!$E:$E,증감분석!E$10)</f>
        <v>40000</v>
      </c>
      <c r="F25" s="60">
        <f>SUMIFS(원장!$H:$H,원장!$A:$A,증감분석!$B25,원장!$D:$D,증감분석!F$9,원장!$E:$E,증감분석!F$10)</f>
        <v>737</v>
      </c>
      <c r="G25" s="60">
        <f t="shared" si="0"/>
        <v>1840737</v>
      </c>
      <c r="H25" s="60">
        <f>SUMIFS(원장!$H:$H,원장!$A:$A,증감분석!$B25,원장!$D:$D,증감분석!H$9,원장!$E:$E,증감분석!H$10)</f>
        <v>-1679000</v>
      </c>
      <c r="I25" s="60">
        <f>SUMIFS(원장!$H:$H,원장!$A:$A,증감분석!$B25,원장!$D:$D,증감분석!I$9,원장!$E:$E,증감분석!I$10)</f>
        <v>0</v>
      </c>
      <c r="J25" s="60">
        <f>SUMIFS(원장!$H:$H,원장!$A:$A,증감분석!$B25,원장!$D:$D,증감분석!J$9,원장!$E:$E,증감분석!J$10)</f>
        <v>0</v>
      </c>
      <c r="K25" s="60">
        <f>SUMIFS(원장!$H:$H,원장!$A:$A,증감분석!$B25,원장!$D:$D,증감분석!K$9,원장!$E:$E,증감분석!K$10)</f>
        <v>-1337350</v>
      </c>
      <c r="L25" s="60">
        <f t="shared" si="1"/>
        <v>-3016350</v>
      </c>
      <c r="M25" s="60">
        <f t="shared" si="2"/>
        <v>-1175613</v>
      </c>
      <c r="N25" s="60">
        <f>SUM($M$11:M25)</f>
        <v>3484671</v>
      </c>
      <c r="P25" s="56" t="str">
        <f t="shared" si="3"/>
        <v>25년 8월</v>
      </c>
      <c r="Q25" s="60">
        <f t="shared" si="4"/>
        <v>1840737</v>
      </c>
      <c r="R25" s="63">
        <f t="shared" si="5"/>
        <v>3016350</v>
      </c>
      <c r="S25" s="60">
        <f t="shared" si="6"/>
        <v>3484671</v>
      </c>
    </row>
    <row r="26" spans="2:19" ht="16.5" customHeight="1" x14ac:dyDescent="0.3">
      <c r="B26" s="56" t="s">
        <v>43</v>
      </c>
      <c r="C26" s="3">
        <f ca="1">IF($B26=참고!$D$5,1,C27+1)</f>
        <v>7</v>
      </c>
      <c r="D26" s="60">
        <f>SUMIFS(원장!$H:$H,원장!$A:$A,증감분석!$B26,원장!$D:$D,증감분석!D$9,원장!$E:$E,증감분석!D$10)</f>
        <v>1800000</v>
      </c>
      <c r="E26" s="60">
        <f>SUMIFS(원장!$H:$H,원장!$A:$A,증감분석!$B26,원장!$D:$D,증감분석!E$9,원장!$E:$E,증감분석!E$10)</f>
        <v>0</v>
      </c>
      <c r="F26" s="60">
        <f>SUMIFS(원장!$H:$H,원장!$A:$A,증감분석!$B26,원장!$D:$D,증감분석!F$9,원장!$E:$E,증감분석!F$10)</f>
        <v>436</v>
      </c>
      <c r="G26" s="60">
        <f t="shared" si="0"/>
        <v>1800436</v>
      </c>
      <c r="H26" s="60">
        <f>SUMIFS(원장!$H:$H,원장!$A:$A,증감분석!$B26,원장!$D:$D,증감분석!H$9,원장!$E:$E,증감분석!H$10)</f>
        <v>-508770</v>
      </c>
      <c r="I26" s="60">
        <f>SUMIFS(원장!$H:$H,원장!$A:$A,증감분석!$B26,원장!$D:$D,증감분석!I$9,원장!$E:$E,증감분석!I$10)</f>
        <v>-1000000</v>
      </c>
      <c r="J26" s="60">
        <f>SUMIFS(원장!$H:$H,원장!$A:$A,증감분석!$B26,원장!$D:$D,증감분석!J$9,원장!$E:$E,증감분석!J$10)</f>
        <v>-622800</v>
      </c>
      <c r="K26" s="60">
        <f>SUMIFS(원장!$H:$H,원장!$A:$A,증감분석!$B26,원장!$D:$D,증감분석!K$9,원장!$E:$E,증감분석!K$10)</f>
        <v>0</v>
      </c>
      <c r="L26" s="60">
        <f t="shared" si="1"/>
        <v>-2131570</v>
      </c>
      <c r="M26" s="60">
        <f t="shared" si="2"/>
        <v>-331134</v>
      </c>
      <c r="N26" s="60">
        <f>SUM($M$11:M26)</f>
        <v>3153537</v>
      </c>
      <c r="P26" s="56" t="str">
        <f t="shared" si="3"/>
        <v>25년 9월</v>
      </c>
      <c r="Q26" s="60">
        <f t="shared" si="4"/>
        <v>1800436</v>
      </c>
      <c r="R26" s="63">
        <f t="shared" si="5"/>
        <v>2131570</v>
      </c>
      <c r="S26" s="60">
        <f t="shared" si="6"/>
        <v>3153537</v>
      </c>
    </row>
    <row r="27" spans="2:19" ht="16.5" customHeight="1" x14ac:dyDescent="0.3">
      <c r="B27" s="56" t="s">
        <v>44</v>
      </c>
      <c r="C27" s="3">
        <f ca="1">IF($B27=참고!$D$5,1,C28+1)</f>
        <v>6</v>
      </c>
      <c r="D27" s="60">
        <f>SUMIFS(원장!$H:$H,원장!$A:$A,증감분석!$B27,원장!$D:$D,증감분석!D$9,원장!$E:$E,증감분석!D$10)</f>
        <v>1800000</v>
      </c>
      <c r="E27" s="60">
        <f>SUMIFS(원장!$H:$H,원장!$A:$A,증감분석!$B27,원장!$D:$D,증감분석!E$9,원장!$E:$E,증감분석!E$10)</f>
        <v>0</v>
      </c>
      <c r="F27" s="60">
        <f>SUMIFS(원장!$H:$H,원장!$A:$A,증감분석!$B27,원장!$D:$D,증감분석!F$9,원장!$E:$E,증감분석!F$10)</f>
        <v>332</v>
      </c>
      <c r="G27" s="60">
        <f t="shared" si="0"/>
        <v>1800332</v>
      </c>
      <c r="H27" s="60">
        <f>SUMIFS(원장!$H:$H,원장!$A:$A,증감분석!$B27,원장!$D:$D,증감분석!H$9,원장!$E:$E,증감분석!H$10)</f>
        <v>-848000</v>
      </c>
      <c r="I27" s="60">
        <f>SUMIFS(원장!$H:$H,원장!$A:$A,증감분석!$B27,원장!$D:$D,증감분석!I$9,원장!$E:$E,증감분석!I$10)</f>
        <v>0</v>
      </c>
      <c r="J27" s="60">
        <f>SUMIFS(원장!$H:$H,원장!$A:$A,증감분석!$B27,원장!$D:$D,증감분석!J$9,원장!$E:$E,증감분석!J$10)</f>
        <v>0</v>
      </c>
      <c r="K27" s="60">
        <f>SUMIFS(원장!$H:$H,원장!$A:$A,증감분석!$B27,원장!$D:$D,증감분석!K$9,원장!$E:$E,증감분석!K$10)</f>
        <v>0</v>
      </c>
      <c r="L27" s="60">
        <f t="shared" si="1"/>
        <v>-848000</v>
      </c>
      <c r="M27" s="60">
        <f t="shared" si="2"/>
        <v>952332</v>
      </c>
      <c r="N27" s="60">
        <f>SUM($M$11:M27)</f>
        <v>4105869</v>
      </c>
      <c r="P27" s="56" t="str">
        <f t="shared" si="3"/>
        <v>25년 10월</v>
      </c>
      <c r="Q27" s="60">
        <f t="shared" si="4"/>
        <v>1800332</v>
      </c>
      <c r="R27" s="63">
        <f t="shared" si="5"/>
        <v>848000</v>
      </c>
      <c r="S27" s="60">
        <f t="shared" si="6"/>
        <v>4105869</v>
      </c>
    </row>
    <row r="28" spans="2:19" ht="16.5" customHeight="1" x14ac:dyDescent="0.3">
      <c r="B28" s="56" t="s">
        <v>45</v>
      </c>
      <c r="C28" s="3">
        <f ca="1">IF($B28=참고!$D$5,1,C29+1)</f>
        <v>5</v>
      </c>
      <c r="D28" s="60">
        <f>SUMIFS(원장!$H:$H,원장!$A:$A,증감분석!$B28,원장!$D:$D,증감분석!D$9,원장!$E:$E,증감분석!D$10)</f>
        <v>1800000</v>
      </c>
      <c r="E28" s="60">
        <f>SUMIFS(원장!$H:$H,원장!$A:$A,증감분석!$B28,원장!$D:$D,증감분석!E$9,원장!$E:$E,증감분석!E$10)</f>
        <v>0</v>
      </c>
      <c r="F28" s="60">
        <f>SUMIFS(원장!$H:$H,원장!$A:$A,증감분석!$B28,원장!$D:$D,증감분석!F$9,원장!$E:$E,증감분석!F$10)</f>
        <v>736</v>
      </c>
      <c r="G28" s="60">
        <f t="shared" si="0"/>
        <v>1800736</v>
      </c>
      <c r="H28" s="60">
        <f>SUMIFS(원장!$H:$H,원장!$A:$A,증감분석!$B28,원장!$D:$D,증감분석!H$9,원장!$E:$E,증감분석!H$10)</f>
        <v>-1644400</v>
      </c>
      <c r="I28" s="60">
        <f>SUMIFS(원장!$H:$H,원장!$A:$A,증감분석!$B28,원장!$D:$D,증감분석!I$9,원장!$E:$E,증감분석!I$10)</f>
        <v>0</v>
      </c>
      <c r="J28" s="60">
        <f>SUMIFS(원장!$H:$H,원장!$A:$A,증감분석!$B28,원장!$D:$D,증감분석!J$9,원장!$E:$E,증감분석!J$10)</f>
        <v>0</v>
      </c>
      <c r="K28" s="60">
        <f>SUMIFS(원장!$H:$H,원장!$A:$A,증감분석!$B28,원장!$D:$D,증감분석!K$9,원장!$E:$E,증감분석!K$10)</f>
        <v>0</v>
      </c>
      <c r="L28" s="60">
        <f t="shared" si="1"/>
        <v>-1644400</v>
      </c>
      <c r="M28" s="60">
        <f t="shared" si="2"/>
        <v>156336</v>
      </c>
      <c r="N28" s="60">
        <f>SUM($M$11:M28)</f>
        <v>4262205</v>
      </c>
      <c r="P28" s="56" t="str">
        <f t="shared" si="3"/>
        <v>25년 11월</v>
      </c>
      <c r="Q28" s="60">
        <f t="shared" si="4"/>
        <v>1800736</v>
      </c>
      <c r="R28" s="63">
        <f t="shared" si="5"/>
        <v>1644400</v>
      </c>
      <c r="S28" s="60">
        <f t="shared" si="6"/>
        <v>4262205</v>
      </c>
    </row>
    <row r="29" spans="2:19" ht="16.5" customHeight="1" x14ac:dyDescent="0.3">
      <c r="B29" s="56" t="s">
        <v>46</v>
      </c>
      <c r="C29" s="3">
        <f ca="1">IF($B29=참고!$D$5,1,C30+1)</f>
        <v>4</v>
      </c>
      <c r="D29" s="60">
        <f>SUMIFS(원장!$H:$H,원장!$A:$A,증감분석!$B29,원장!$D:$D,증감분석!D$9,원장!$E:$E,증감분석!D$10)</f>
        <v>1900000</v>
      </c>
      <c r="E29" s="60">
        <f>SUMIFS(원장!$H:$H,원장!$A:$A,증감분석!$B29,원장!$D:$D,증감분석!E$9,원장!$E:$E,증감분석!E$10)</f>
        <v>0</v>
      </c>
      <c r="F29" s="60">
        <f>SUMIFS(원장!$H:$H,원장!$A:$A,증감분석!$B29,원장!$D:$D,증감분석!F$9,원장!$E:$E,증감분석!F$10)</f>
        <v>3179</v>
      </c>
      <c r="G29" s="60">
        <f t="shared" si="0"/>
        <v>1903179</v>
      </c>
      <c r="H29" s="60">
        <f>SUMIFS(원장!$H:$H,원장!$A:$A,증감분석!$B29,원장!$D:$D,증감분석!H$9,원장!$E:$E,증감분석!H$10)</f>
        <v>-2481800</v>
      </c>
      <c r="I29" s="60">
        <f>SUMIFS(원장!$H:$H,원장!$A:$A,증감분석!$B29,원장!$D:$D,증감분석!I$9,원장!$E:$E,증감분석!I$10)</f>
        <v>0</v>
      </c>
      <c r="J29" s="60">
        <f>SUMIFS(원장!$H:$H,원장!$A:$A,증감분석!$B29,원장!$D:$D,증감분석!J$9,원장!$E:$E,증감분석!J$10)</f>
        <v>-1100000</v>
      </c>
      <c r="K29" s="60">
        <f>SUMIFS(원장!$H:$H,원장!$A:$A,증감분석!$B29,원장!$D:$D,증감분석!K$9,원장!$E:$E,증감분석!K$10)</f>
        <v>-1587300</v>
      </c>
      <c r="L29" s="60">
        <f t="shared" si="1"/>
        <v>-5169100</v>
      </c>
      <c r="M29" s="60">
        <f t="shared" si="2"/>
        <v>-3265921</v>
      </c>
      <c r="N29" s="60">
        <f>SUM($M$11:M29)</f>
        <v>996284</v>
      </c>
      <c r="P29" s="56" t="str">
        <f t="shared" si="3"/>
        <v>25년 12월</v>
      </c>
      <c r="Q29" s="60">
        <f t="shared" si="4"/>
        <v>1903179</v>
      </c>
      <c r="R29" s="63">
        <f t="shared" si="5"/>
        <v>5169100</v>
      </c>
      <c r="S29" s="60">
        <f t="shared" si="6"/>
        <v>996284</v>
      </c>
    </row>
    <row r="30" spans="2:19" ht="16.5" customHeight="1" x14ac:dyDescent="0.3">
      <c r="B30" s="56" t="s">
        <v>47</v>
      </c>
      <c r="C30" s="3">
        <f ca="1">IF($B30=참고!$D$5,1,C31+1)</f>
        <v>3</v>
      </c>
      <c r="D30" s="60">
        <f>SUMIFS(원장!$H:$H,원장!$A:$A,증감분석!$B30,원장!$D:$D,증감분석!D$9,원장!$E:$E,증감분석!D$10)</f>
        <v>1800000</v>
      </c>
      <c r="E30" s="60">
        <f>SUMIFS(원장!$H:$H,원장!$A:$A,증감분석!$B30,원장!$D:$D,증감분석!E$9,원장!$E:$E,증감분석!E$10)</f>
        <v>50000</v>
      </c>
      <c r="F30" s="60">
        <f>SUMIFS(원장!$H:$H,원장!$A:$A,증감분석!$B30,원장!$D:$D,증감분석!F$9,원장!$E:$E,증감분석!F$10)</f>
        <v>166</v>
      </c>
      <c r="G30" s="60">
        <f t="shared" si="0"/>
        <v>1850166</v>
      </c>
      <c r="H30" s="60">
        <f>SUMIFS(원장!$H:$H,원장!$A:$A,증감분석!$B30,원장!$D:$D,증감분석!H$9,원장!$E:$E,증감분석!H$10)</f>
        <v>-850000</v>
      </c>
      <c r="I30" s="60">
        <f>SUMIFS(원장!$H:$H,원장!$A:$A,증감분석!$B30,원장!$D:$D,증감분석!I$9,원장!$E:$E,증감분석!I$10)</f>
        <v>0</v>
      </c>
      <c r="J30" s="60">
        <f>SUMIFS(원장!$H:$H,원장!$A:$A,증감분석!$B30,원장!$D:$D,증감분석!J$9,원장!$E:$E,증감분석!J$10)</f>
        <v>0</v>
      </c>
      <c r="K30" s="60">
        <f>SUMIFS(원장!$H:$H,원장!$A:$A,증감분석!$B30,원장!$D:$D,증감분석!K$9,원장!$E:$E,증감분석!K$10)</f>
        <v>0</v>
      </c>
      <c r="L30" s="60">
        <f t="shared" si="1"/>
        <v>-850000</v>
      </c>
      <c r="M30" s="60">
        <f t="shared" si="2"/>
        <v>1000166</v>
      </c>
      <c r="N30" s="60">
        <f>SUM($M$11:M30)</f>
        <v>1996450</v>
      </c>
      <c r="P30" s="56" t="str">
        <f t="shared" si="3"/>
        <v>26년 1월</v>
      </c>
      <c r="Q30" s="60">
        <f t="shared" si="4"/>
        <v>1850166</v>
      </c>
      <c r="R30" s="63">
        <f t="shared" si="5"/>
        <v>850000</v>
      </c>
      <c r="S30" s="60">
        <f t="shared" si="6"/>
        <v>1996450</v>
      </c>
    </row>
    <row r="31" spans="2:19" ht="16.5" customHeight="1" x14ac:dyDescent="0.3">
      <c r="B31" s="56" t="s">
        <v>48</v>
      </c>
      <c r="C31" s="3">
        <f ca="1">IF($B31=참고!$D$5,1,C32+1)</f>
        <v>2</v>
      </c>
      <c r="D31" s="60">
        <f>SUMIFS(원장!$H:$H,원장!$A:$A,증감분석!$B31,원장!$D:$D,증감분석!D$9,원장!$E:$E,증감분석!D$10)</f>
        <v>1900000</v>
      </c>
      <c r="E31" s="60">
        <f>SUMIFS(원장!$H:$H,원장!$A:$A,증감분석!$B31,원장!$D:$D,증감분석!E$9,원장!$E:$E,증감분석!E$10)</f>
        <v>0</v>
      </c>
      <c r="F31" s="60">
        <f>SUMIFS(원장!$H:$H,원장!$A:$A,증감분석!$B31,원장!$D:$D,증감분석!F$9,원장!$E:$E,증감분석!F$10)</f>
        <v>0</v>
      </c>
      <c r="G31" s="60">
        <f t="shared" si="0"/>
        <v>1900000</v>
      </c>
      <c r="H31" s="60">
        <f>SUMIFS(원장!$H:$H,원장!$A:$A,증감분석!$B31,원장!$D:$D,증감분석!H$9,원장!$E:$E,증감분석!H$10)</f>
        <v>-1110000</v>
      </c>
      <c r="I31" s="60">
        <f>SUMIFS(원장!$H:$H,원장!$A:$A,증감분석!$B31,원장!$D:$D,증감분석!I$9,원장!$E:$E,증감분석!I$10)</f>
        <v>0</v>
      </c>
      <c r="J31" s="60">
        <f>SUMIFS(원장!$H:$H,원장!$A:$A,증감분석!$B31,원장!$D:$D,증감분석!J$9,원장!$E:$E,증감분석!J$10)</f>
        <v>-197100</v>
      </c>
      <c r="K31" s="60">
        <f>SUMIFS(원장!$H:$H,원장!$A:$A,증감분석!$B31,원장!$D:$D,증감분석!K$9,원장!$E:$E,증감분석!K$10)</f>
        <v>0</v>
      </c>
      <c r="L31" s="60">
        <f t="shared" si="1"/>
        <v>-1307100</v>
      </c>
      <c r="M31" s="60">
        <f t="shared" si="2"/>
        <v>592900</v>
      </c>
      <c r="N31" s="60">
        <f>SUM($M$11:M31)</f>
        <v>2589350</v>
      </c>
      <c r="P31" s="56" t="str">
        <f t="shared" si="3"/>
        <v>26년 2월</v>
      </c>
      <c r="Q31" s="60">
        <f t="shared" si="4"/>
        <v>1900000</v>
      </c>
      <c r="R31" s="63">
        <f t="shared" si="5"/>
        <v>1307100</v>
      </c>
      <c r="S31" s="60">
        <f t="shared" si="6"/>
        <v>2589350</v>
      </c>
    </row>
    <row r="32" spans="2:19" ht="16.5" customHeight="1" x14ac:dyDescent="0.3">
      <c r="B32" s="56" t="s">
        <v>49</v>
      </c>
      <c r="C32" s="3">
        <f ca="1">IF($B32=참고!$D$5,1,C33+1)</f>
        <v>1</v>
      </c>
      <c r="D32" s="60">
        <f>SUMIFS(원장!$H:$H,원장!$A:$A,증감분석!$B32,원장!$D:$D,증감분석!D$9,원장!$E:$E,증감분석!D$10)</f>
        <v>1900000</v>
      </c>
      <c r="E32" s="60">
        <f>SUMIFS(원장!$H:$H,원장!$A:$A,증감분석!$B32,원장!$D:$D,증감분석!E$9,원장!$E:$E,증감분석!E$10)</f>
        <v>150000</v>
      </c>
      <c r="F32" s="60">
        <f>SUMIFS(원장!$H:$H,원장!$A:$A,증감분석!$B32,원장!$D:$D,증감분석!F$9,원장!$E:$E,증감분석!F$10)</f>
        <v>568</v>
      </c>
      <c r="G32" s="60">
        <f t="shared" si="0"/>
        <v>2050568</v>
      </c>
      <c r="H32" s="60">
        <f>SUMIFS(원장!$H:$H,원장!$A:$A,증감분석!$B32,원장!$D:$D,증감분석!H$9,원장!$E:$E,증감분석!H$10)</f>
        <v>-630000</v>
      </c>
      <c r="I32" s="60">
        <f>SUMIFS(원장!$H:$H,원장!$A:$A,증감분석!$B32,원장!$D:$D,증감분석!I$9,원장!$E:$E,증감분석!I$10)</f>
        <v>0</v>
      </c>
      <c r="J32" s="60">
        <f>SUMIFS(원장!$H:$H,원장!$A:$A,증감분석!$B32,원장!$D:$D,증감분석!J$9,원장!$E:$E,증감분석!J$10)</f>
        <v>0</v>
      </c>
      <c r="K32" s="60">
        <f>SUMIFS(원장!$H:$H,원장!$A:$A,증감분석!$B32,원장!$D:$D,증감분석!K$9,원장!$E:$E,증감분석!K$10)</f>
        <v>0</v>
      </c>
      <c r="L32" s="60">
        <f t="shared" si="1"/>
        <v>-630000</v>
      </c>
      <c r="M32" s="60">
        <f t="shared" si="2"/>
        <v>1420568</v>
      </c>
      <c r="N32" s="60">
        <f>SUM($M$11:M32)</f>
        <v>4009918</v>
      </c>
      <c r="P32" s="56" t="str">
        <f t="shared" si="3"/>
        <v>26년 3월</v>
      </c>
      <c r="Q32" s="60">
        <f t="shared" si="4"/>
        <v>2050568</v>
      </c>
      <c r="R32" s="63">
        <f t="shared" si="5"/>
        <v>630000</v>
      </c>
      <c r="S32" s="60">
        <f t="shared" si="6"/>
        <v>4009918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="70" zoomScaleNormal="70" workbookViewId="0">
      <selection activeCell="AD22" sqref="AD22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"/>
  <sheetViews>
    <sheetView workbookViewId="0">
      <selection activeCell="C2" sqref="C2"/>
    </sheetView>
  </sheetViews>
  <sheetFormatPr defaultRowHeight="16.5" x14ac:dyDescent="0.3"/>
  <cols>
    <col min="1" max="1" width="10.875" style="99" bestFit="1" customWidth="1"/>
  </cols>
  <sheetData>
    <row r="1" spans="1:15" x14ac:dyDescent="0.3">
      <c r="A1" s="68">
        <f ca="1">TODAY()</f>
        <v>46147</v>
      </c>
      <c r="B1" s="67">
        <f ca="1">YEAR(A1)</f>
        <v>2026</v>
      </c>
      <c r="C1" s="67">
        <f ca="1">MONTH(A1)</f>
        <v>5</v>
      </c>
      <c r="D1" s="67">
        <f t="shared" ref="D1:O1" ca="1" si="0">IF(C1-1=0,12,C1-1)</f>
        <v>4</v>
      </c>
      <c r="E1" s="67">
        <f t="shared" ca="1" si="0"/>
        <v>3</v>
      </c>
      <c r="F1" s="67">
        <f t="shared" ca="1" si="0"/>
        <v>2</v>
      </c>
      <c r="G1" s="67">
        <f t="shared" ca="1" si="0"/>
        <v>1</v>
      </c>
      <c r="H1" s="67">
        <f t="shared" ca="1" si="0"/>
        <v>12</v>
      </c>
      <c r="I1" s="67">
        <f t="shared" ca="1" si="0"/>
        <v>11</v>
      </c>
      <c r="J1" s="67">
        <f t="shared" ca="1" si="0"/>
        <v>10</v>
      </c>
      <c r="K1" s="67">
        <f t="shared" ca="1" si="0"/>
        <v>9</v>
      </c>
      <c r="L1" s="67">
        <f t="shared" ca="1" si="0"/>
        <v>8</v>
      </c>
      <c r="M1" s="67">
        <f t="shared" ca="1" si="0"/>
        <v>7</v>
      </c>
      <c r="N1" s="67">
        <f t="shared" ca="1" si="0"/>
        <v>6</v>
      </c>
      <c r="O1" s="67">
        <f t="shared" ca="1" si="0"/>
        <v>5</v>
      </c>
    </row>
    <row r="2" spans="1:15" x14ac:dyDescent="0.3">
      <c r="B2" s="67" t="str">
        <f ca="1">RIGHT(B1,2)</f>
        <v>26</v>
      </c>
      <c r="C2" s="67">
        <f ca="1">B2-1</f>
        <v>25</v>
      </c>
    </row>
    <row r="3" spans="1:15" x14ac:dyDescent="0.3">
      <c r="B3" s="67" t="str">
        <f ca="1">B2&amp;"년"</f>
        <v>26년</v>
      </c>
      <c r="C3" s="67" t="str">
        <f ca="1">C2&amp;"년"</f>
        <v>25년</v>
      </c>
    </row>
    <row r="4" spans="1:15" x14ac:dyDescent="0.3">
      <c r="D4" s="67" t="str">
        <f t="shared" ref="D4:O4" ca="1" si="1">D1&amp;"월"</f>
        <v>4월</v>
      </c>
      <c r="E4" s="67" t="str">
        <f t="shared" ca="1" si="1"/>
        <v>3월</v>
      </c>
      <c r="F4" s="67" t="str">
        <f t="shared" ca="1" si="1"/>
        <v>2월</v>
      </c>
      <c r="G4" s="67" t="str">
        <f t="shared" ca="1" si="1"/>
        <v>1월</v>
      </c>
      <c r="H4" s="67" t="str">
        <f t="shared" ca="1" si="1"/>
        <v>12월</v>
      </c>
      <c r="I4" s="67" t="str">
        <f t="shared" ca="1" si="1"/>
        <v>11월</v>
      </c>
      <c r="J4" s="67" t="str">
        <f t="shared" ca="1" si="1"/>
        <v>10월</v>
      </c>
      <c r="K4" s="67" t="str">
        <f t="shared" ca="1" si="1"/>
        <v>9월</v>
      </c>
      <c r="L4" s="67" t="str">
        <f t="shared" ca="1" si="1"/>
        <v>8월</v>
      </c>
      <c r="M4" s="67" t="str">
        <f t="shared" ca="1" si="1"/>
        <v>7월</v>
      </c>
      <c r="N4" s="67" t="str">
        <f t="shared" ca="1" si="1"/>
        <v>6월</v>
      </c>
      <c r="O4" s="67" t="str">
        <f t="shared" ca="1" si="1"/>
        <v>5월</v>
      </c>
    </row>
    <row r="5" spans="1:15" x14ac:dyDescent="0.3">
      <c r="D5" s="67" t="str">
        <f t="shared" ref="D5:O5" ca="1" si="2">IF(D1&gt;=$C$1,$C$3&amp;" "&amp;D4,$B$3&amp;" "&amp;D4)</f>
        <v>26년 4월</v>
      </c>
      <c r="E5" s="67" t="str">
        <f t="shared" ca="1" si="2"/>
        <v>26년 3월</v>
      </c>
      <c r="F5" s="67" t="str">
        <f t="shared" ca="1" si="2"/>
        <v>26년 2월</v>
      </c>
      <c r="G5" s="67" t="str">
        <f t="shared" ca="1" si="2"/>
        <v>26년 1월</v>
      </c>
      <c r="H5" s="67" t="str">
        <f t="shared" ca="1" si="2"/>
        <v>25년 12월</v>
      </c>
      <c r="I5" s="67" t="str">
        <f t="shared" ca="1" si="2"/>
        <v>25년 11월</v>
      </c>
      <c r="J5" s="67" t="str">
        <f t="shared" ca="1" si="2"/>
        <v>25년 10월</v>
      </c>
      <c r="K5" s="67" t="str">
        <f t="shared" ca="1" si="2"/>
        <v>25년 9월</v>
      </c>
      <c r="L5" s="67" t="str">
        <f t="shared" ca="1" si="2"/>
        <v>25년 8월</v>
      </c>
      <c r="M5" s="67" t="str">
        <f t="shared" ca="1" si="2"/>
        <v>25년 7월</v>
      </c>
      <c r="N5" s="67" t="str">
        <f t="shared" ca="1" si="2"/>
        <v>25년 6월</v>
      </c>
      <c r="O5" s="67" t="str">
        <f t="shared" ca="1" si="2"/>
        <v>25년 5월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M16"/>
  <sheetViews>
    <sheetView showGridLines="0" zoomScale="115" zoomScaleNormal="115" workbookViewId="0">
      <selection activeCell="G14" sqref="G14"/>
    </sheetView>
  </sheetViews>
  <sheetFormatPr defaultRowHeight="16.5" x14ac:dyDescent="0.3"/>
  <cols>
    <col min="1" max="2" width="7.5" style="99" customWidth="1"/>
    <col min="3" max="4" width="6.625" style="99" customWidth="1"/>
    <col min="5" max="9" width="13.375" style="54" customWidth="1"/>
    <col min="10" max="11" width="13.375" style="99" customWidth="1"/>
    <col min="12" max="13" width="6.625" style="99" customWidth="1"/>
  </cols>
  <sheetData>
    <row r="5" spans="3:13" x14ac:dyDescent="0.3">
      <c r="C5" s="84"/>
      <c r="D5" s="85"/>
      <c r="E5" s="86"/>
      <c r="F5" s="86"/>
      <c r="G5" s="86"/>
      <c r="H5" s="86"/>
      <c r="I5" s="86"/>
      <c r="J5" s="85"/>
      <c r="K5" s="85"/>
      <c r="L5" s="85"/>
      <c r="M5" s="87"/>
    </row>
    <row r="6" spans="3:13" x14ac:dyDescent="0.3">
      <c r="C6" s="88"/>
      <c r="M6" s="89"/>
    </row>
    <row r="7" spans="3:13" x14ac:dyDescent="0.3">
      <c r="C7" s="88"/>
      <c r="M7" s="89"/>
    </row>
    <row r="8" spans="3:13" ht="17.25" customHeight="1" thickBot="1" x14ac:dyDescent="0.35">
      <c r="C8" s="88"/>
      <c r="M8" s="89"/>
    </row>
    <row r="9" spans="3:13" x14ac:dyDescent="0.3">
      <c r="C9" s="88"/>
      <c r="E9" s="77" t="s">
        <v>59</v>
      </c>
      <c r="F9" s="94" t="str">
        <f ca="1">회비입출내역!F1</f>
        <v>26년 4월</v>
      </c>
      <c r="G9" s="81" t="str">
        <f ca="1">회비입출내역!$C$1</f>
        <v>26년 3월</v>
      </c>
      <c r="H9" s="81" t="str">
        <f>증감분석!B5</f>
        <v>최근3개월평균</v>
      </c>
      <c r="I9" s="81" t="str">
        <f>증감분석!B6</f>
        <v>최근6개월평균</v>
      </c>
      <c r="J9" s="1" t="str">
        <f>증감분석!$B$7</f>
        <v>최근12개월평균</v>
      </c>
      <c r="K9" s="1" t="s">
        <v>60</v>
      </c>
      <c r="M9" s="89"/>
    </row>
    <row r="10" spans="3:13" x14ac:dyDescent="0.3">
      <c r="C10" s="88"/>
      <c r="E10" s="78" t="s">
        <v>61</v>
      </c>
      <c r="F10" s="95">
        <f ca="1">회비입출내역!$G$4</f>
        <v>2100380</v>
      </c>
      <c r="G10" s="82">
        <f ca="1">회비입출내역!$D$4</f>
        <v>2050568</v>
      </c>
      <c r="H10" s="75">
        <f ca="1">증감분석!$G$5</f>
        <v>1851360.3333333333</v>
      </c>
      <c r="I10" s="75">
        <f ca="1">증감분석!$G$6</f>
        <v>1842474.8333333333</v>
      </c>
      <c r="J10" s="75">
        <f ca="1">증감분석!$G$7</f>
        <v>1823182.9166666667</v>
      </c>
      <c r="K10" s="74">
        <f>회비입출내역!$J$4</f>
        <v>40080698</v>
      </c>
      <c r="M10" s="89"/>
    </row>
    <row r="11" spans="3:13" x14ac:dyDescent="0.3">
      <c r="C11" s="88"/>
      <c r="E11" s="79" t="s">
        <v>62</v>
      </c>
      <c r="F11" s="96">
        <f ca="1">회비입출내역!$G$9</f>
        <v>-777550</v>
      </c>
      <c r="G11" s="83">
        <f ca="1">회비입출내역!$D$9</f>
        <v>-630000</v>
      </c>
      <c r="H11" s="60">
        <f ca="1">증감분석!$L$5</f>
        <v>-929033.33333333337</v>
      </c>
      <c r="I11" s="60">
        <f ca="1">증감분석!$L$6</f>
        <v>-1741433.3333333333</v>
      </c>
      <c r="J11" s="60">
        <f ca="1">증감분석!$L$7</f>
        <v>-1745618.3333333333</v>
      </c>
      <c r="K11" s="76">
        <f>회비입출내역!$J$9</f>
        <v>-33047950</v>
      </c>
      <c r="M11" s="89"/>
    </row>
    <row r="12" spans="3:13" ht="17.25" customHeight="1" thickBot="1" x14ac:dyDescent="0.35">
      <c r="C12" s="88"/>
      <c r="E12" s="80" t="s">
        <v>63</v>
      </c>
      <c r="F12" s="97">
        <f t="shared" ref="F12:K12" ca="1" si="0">SUM(F10:F11)</f>
        <v>1322830</v>
      </c>
      <c r="G12" s="63">
        <f t="shared" ca="1" si="0"/>
        <v>1420568</v>
      </c>
      <c r="H12" s="63">
        <f t="shared" ca="1" si="0"/>
        <v>922326.99999999988</v>
      </c>
      <c r="I12" s="63">
        <f t="shared" ca="1" si="0"/>
        <v>101041.5</v>
      </c>
      <c r="J12" s="63">
        <f t="shared" ca="1" si="0"/>
        <v>77564.583333333489</v>
      </c>
      <c r="K12" s="60">
        <f t="shared" si="0"/>
        <v>7032748</v>
      </c>
      <c r="M12" s="89"/>
    </row>
    <row r="13" spans="3:13" x14ac:dyDescent="0.3">
      <c r="C13" s="88"/>
      <c r="M13" s="89"/>
    </row>
    <row r="14" spans="3:13" x14ac:dyDescent="0.3">
      <c r="C14" s="88"/>
      <c r="M14" s="89"/>
    </row>
    <row r="15" spans="3:13" x14ac:dyDescent="0.3">
      <c r="C15" s="88"/>
      <c r="M15" s="89"/>
    </row>
    <row r="16" spans="3:13" x14ac:dyDescent="0.3">
      <c r="C16" s="90"/>
      <c r="D16" s="91"/>
      <c r="E16" s="92"/>
      <c r="F16" s="92"/>
      <c r="G16" s="92"/>
      <c r="H16" s="92"/>
      <c r="I16" s="92"/>
      <c r="J16" s="91"/>
      <c r="K16" s="91"/>
      <c r="L16" s="91"/>
      <c r="M16" s="9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>
      <selection activeCell="L6" sqref="L6"/>
    </sheetView>
  </sheetViews>
  <sheetFormatPr defaultRowHeight="16.5" x14ac:dyDescent="0.3"/>
  <cols>
    <col min="1" max="2" width="9.5" style="99" customWidth="1"/>
  </cols>
  <sheetData>
    <row r="1" spans="1:2" x14ac:dyDescent="0.3">
      <c r="A1" s="13" t="s">
        <v>146</v>
      </c>
      <c r="B1" s="13"/>
    </row>
    <row r="2" spans="1:2" x14ac:dyDescent="0.3">
      <c r="A2" s="2" t="s">
        <v>147</v>
      </c>
      <c r="B2" s="2" t="s">
        <v>78</v>
      </c>
    </row>
    <row r="3" spans="1:2" x14ac:dyDescent="0.3">
      <c r="A3" s="5">
        <v>1</v>
      </c>
      <c r="B3" s="5" t="s">
        <v>148</v>
      </c>
    </row>
    <row r="4" spans="1:2" x14ac:dyDescent="0.3">
      <c r="A4" s="5">
        <v>2</v>
      </c>
      <c r="B4" s="5" t="s">
        <v>149</v>
      </c>
    </row>
    <row r="5" spans="1:2" x14ac:dyDescent="0.3">
      <c r="A5" s="5">
        <v>3</v>
      </c>
      <c r="B5" s="5" t="s">
        <v>150</v>
      </c>
    </row>
    <row r="6" spans="1:2" x14ac:dyDescent="0.3">
      <c r="A6" s="5">
        <v>4</v>
      </c>
      <c r="B6" s="5" t="s">
        <v>151</v>
      </c>
    </row>
    <row r="7" spans="1:2" x14ac:dyDescent="0.3">
      <c r="A7" s="5">
        <v>5</v>
      </c>
      <c r="B7" s="5" t="s">
        <v>152</v>
      </c>
    </row>
    <row r="8" spans="1:2" x14ac:dyDescent="0.3">
      <c r="A8" s="5">
        <v>6</v>
      </c>
      <c r="B8" s="5" t="s">
        <v>153</v>
      </c>
    </row>
    <row r="9" spans="1:2" x14ac:dyDescent="0.3">
      <c r="A9" s="5">
        <v>7</v>
      </c>
      <c r="B9" s="5" t="s">
        <v>154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회비입출내역</vt:lpstr>
      <vt:lpstr>입금현황</vt:lpstr>
      <vt:lpstr>원장</vt:lpstr>
      <vt:lpstr>증감분석</vt:lpstr>
      <vt:lpstr>증감분석차트</vt:lpstr>
      <vt:lpstr>참고</vt:lpstr>
      <vt:lpstr>주요정보</vt:lpstr>
      <vt:lpstr>참조</vt:lpstr>
      <vt:lpstr>회비입출내역!Print_Area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지엽 옥</dc:creator>
  <cp:lastModifiedBy>지엽 옥</cp:lastModifiedBy>
  <cp:lastPrinted>2026-02-01T17:37:22Z</cp:lastPrinted>
  <dcterms:created xsi:type="dcterms:W3CDTF">2024-12-01T00:42:40Z</dcterms:created>
  <dcterms:modified xsi:type="dcterms:W3CDTF">2026-05-05T13:43:55Z</dcterms:modified>
</cp:coreProperties>
</file>