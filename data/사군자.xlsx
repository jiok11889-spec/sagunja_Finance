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회비입출내역" sheetId="1" state="visible" r:id="rId1"/>
    <sheet xmlns:r="http://schemas.openxmlformats.org/officeDocument/2006/relationships" name="입금현황" sheetId="2" state="visible" r:id="rId2"/>
    <sheet xmlns:r="http://schemas.openxmlformats.org/officeDocument/2006/relationships" name="원장" sheetId="3" state="visible" r:id="rId3"/>
    <sheet xmlns:r="http://schemas.openxmlformats.org/officeDocument/2006/relationships" name="증감분석" sheetId="4" state="visible" r:id="rId4"/>
    <sheet xmlns:r="http://schemas.openxmlformats.org/officeDocument/2006/relationships" name="증감분석차트" sheetId="5" state="visible" r:id="rId5"/>
    <sheet xmlns:r="http://schemas.openxmlformats.org/officeDocument/2006/relationships" name="참고" sheetId="6" state="visible" r:id="rId6"/>
    <sheet xmlns:r="http://schemas.openxmlformats.org/officeDocument/2006/relationships" name="주요정보" sheetId="7" state="visible" r:id="rId7"/>
    <sheet xmlns:r="http://schemas.openxmlformats.org/officeDocument/2006/relationships" name="참조" sheetId="8" state="hidden" r:id="rId8"/>
  </sheets>
  <definedNames>
    <definedName name="_xlnm.Print_Area" localSheetId="0">'회비입출내역'!$A$2:$J$15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[Red]\(#,##0\);&quot;-&quot;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바른고딕"/>
      <charset val="129"/>
      <family val="3"/>
      <color theme="1"/>
      <sz val="10"/>
    </font>
    <font>
      <name val="맑은 고딕"/>
      <charset val="129"/>
      <family val="2"/>
      <color theme="1"/>
      <sz val="11"/>
    </font>
    <font>
      <name val="맑은 고딕"/>
      <charset val="129"/>
      <family val="2"/>
      <color theme="1"/>
      <sz val="12"/>
      <scheme val="minor"/>
    </font>
    <font>
      <name val="나눔바른고딕"/>
      <charset val="129"/>
      <family val="3"/>
      <color theme="1"/>
      <sz val="12"/>
    </font>
    <font>
      <name val="나눔바른고딕"/>
      <charset val="129"/>
      <family val="3"/>
      <color theme="1"/>
      <sz val="14"/>
    </font>
    <font>
      <name val="나눔바른고딕"/>
      <charset val="129"/>
      <family val="3"/>
      <color theme="1"/>
      <sz val="13"/>
    </font>
    <font>
      <name val="나눔바른고딕"/>
      <charset val="129"/>
      <family val="3"/>
      <b val="1"/>
      <color theme="1"/>
      <sz val="10"/>
    </font>
    <font>
      <name val="나눔바른고딕"/>
      <charset val="129"/>
      <family val="3"/>
      <b val="1"/>
      <color rgb="FF0000FF"/>
      <sz val="11"/>
    </font>
    <font>
      <name val="나눔바른고딕"/>
      <charset val="129"/>
      <family val="3"/>
      <b val="1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lightUp"/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"/>
        <bgColor indexed="65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139">
    <xf numFmtId="0" fontId="0" fillId="0" borderId="0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2" borderId="4" applyAlignment="1" pivotButton="0" quotePrefix="0" xfId="1">
      <alignment horizontal="center" vertical="center"/>
    </xf>
    <xf numFmtId="0" fontId="2" fillId="4" borderId="1" applyAlignment="1" pivotButton="0" quotePrefix="0" xfId="1">
      <alignment horizontal="center" vertical="center"/>
    </xf>
    <xf numFmtId="0" fontId="2" fillId="4" borderId="2" applyAlignment="1" pivotButton="0" quotePrefix="0" xfId="1">
      <alignment horizontal="center" vertical="center"/>
    </xf>
    <xf numFmtId="0" fontId="2" fillId="5" borderId="4" applyAlignment="1" pivotButton="0" quotePrefix="0" xfId="1">
      <alignment horizontal="center" vertical="center"/>
    </xf>
    <xf numFmtId="0" fontId="2" fillId="6" borderId="0" applyAlignment="1" pivotButton="0" quotePrefix="0" xfId="1">
      <alignment horizontal="center" vertical="center"/>
    </xf>
    <xf numFmtId="0" fontId="2" fillId="2" borderId="2" applyAlignment="1" pivotButton="0" quotePrefix="0" xfId="0">
      <alignment horizontal="centerContinuous" vertical="center"/>
    </xf>
    <xf numFmtId="14" fontId="2" fillId="6" borderId="2" applyAlignment="1" pivotButton="0" quotePrefix="0" xfId="1">
      <alignment horizontal="center" vertical="center"/>
    </xf>
    <xf numFmtId="164" fontId="2" fillId="6" borderId="2" applyAlignment="1" pivotButton="0" quotePrefix="0" xfId="1">
      <alignment horizontal="right" vertical="center"/>
    </xf>
    <xf numFmtId="14" fontId="2" fillId="6" borderId="2" applyAlignment="1" pivotButton="0" quotePrefix="0" xfId="1">
      <alignment horizontal="left" vertical="center"/>
    </xf>
    <xf numFmtId="164" fontId="2" fillId="4" borderId="2" applyAlignment="1" pivotButton="0" quotePrefix="0" xfId="1">
      <alignment horizontal="right" vertical="center"/>
    </xf>
    <xf numFmtId="0" fontId="4" fillId="0" borderId="0" applyAlignment="1" pivotButton="0" quotePrefix="0" xfId="0">
      <alignment vertical="center"/>
    </xf>
    <xf numFmtId="0" fontId="5" fillId="6" borderId="0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 wrapText="1"/>
    </xf>
    <xf numFmtId="164" fontId="5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164" fontId="2" fillId="6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5" fillId="4" borderId="5" applyAlignment="1" pivotButton="0" quotePrefix="0" xfId="0">
      <alignment vertical="center"/>
    </xf>
    <xf numFmtId="164" fontId="5" fillId="0" borderId="6" applyAlignment="1" pivotButton="0" quotePrefix="0" xfId="0">
      <alignment horizontal="right" vertical="center" wrapText="1"/>
    </xf>
    <xf numFmtId="164" fontId="5" fillId="0" borderId="5" applyAlignment="1" pivotButton="0" quotePrefix="0" xfId="0">
      <alignment horizontal="right" vertical="center" wrapText="1"/>
    </xf>
    <xf numFmtId="164" fontId="5" fillId="0" borderId="7" applyAlignment="1" pivotButton="0" quotePrefix="0" xfId="0">
      <alignment vertical="center"/>
    </xf>
    <xf numFmtId="164" fontId="5" fillId="4" borderId="5" applyAlignment="1" pivotButton="0" quotePrefix="0" xfId="0">
      <alignment vertical="center"/>
    </xf>
    <xf numFmtId="0" fontId="6" fillId="7" borderId="5" applyAlignment="1" pivotButton="0" quotePrefix="0" xfId="0">
      <alignment horizontal="centerContinuous" vertical="center"/>
    </xf>
    <xf numFmtId="0" fontId="6" fillId="7" borderId="2" applyAlignment="1" pivotButton="0" quotePrefix="0" xfId="0">
      <alignment horizontal="centerContinuous" vertical="center"/>
    </xf>
    <xf numFmtId="0" fontId="6" fillId="7" borderId="6" applyAlignment="1" pivotButton="0" quotePrefix="0" xfId="0">
      <alignment horizontal="centerContinuous" vertical="center"/>
    </xf>
    <xf numFmtId="164" fontId="7" fillId="4" borderId="7" applyAlignment="1" pivotButton="0" quotePrefix="0" xfId="0">
      <alignment vertical="center"/>
    </xf>
    <xf numFmtId="164" fontId="7" fillId="4" borderId="6" applyAlignment="1" pivotButton="0" quotePrefix="0" xfId="0">
      <alignment vertical="center"/>
    </xf>
    <xf numFmtId="164" fontId="7" fillId="4" borderId="2" applyAlignment="1" pivotButton="0" quotePrefix="0" xfId="0">
      <alignment vertical="center"/>
    </xf>
    <xf numFmtId="0" fontId="7" fillId="4" borderId="6" applyAlignment="1" pivotButton="0" quotePrefix="0" xfId="0">
      <alignment vertical="center"/>
    </xf>
    <xf numFmtId="0" fontId="7" fillId="4" borderId="2" applyAlignment="1" pivotButton="0" quotePrefix="0" xfId="0">
      <alignment vertical="center"/>
    </xf>
    <xf numFmtId="164" fontId="7" fillId="4" borderId="8" applyAlignment="1" pivotButton="0" quotePrefix="0" xfId="0">
      <alignment vertical="center"/>
    </xf>
    <xf numFmtId="164" fontId="5" fillId="0" borderId="8" applyAlignment="1" pivotButton="0" quotePrefix="0" xfId="0">
      <alignment vertical="center"/>
    </xf>
    <xf numFmtId="164" fontId="5" fillId="0" borderId="9" applyAlignment="1" pivotButton="0" quotePrefix="0" xfId="0">
      <alignment horizontal="right" vertical="center" wrapText="1"/>
    </xf>
    <xf numFmtId="0" fontId="5" fillId="0" borderId="6" applyAlignment="1" pivotButton="0" quotePrefix="0" xfId="0">
      <alignment vertical="center"/>
    </xf>
    <xf numFmtId="0" fontId="6" fillId="7" borderId="6" applyAlignment="1" pivotButton="0" quotePrefix="0" xfId="0">
      <alignment horizontal="center" vertical="center"/>
    </xf>
    <xf numFmtId="0" fontId="6" fillId="7" borderId="6" applyAlignment="1" pivotButton="0" quotePrefix="0" xfId="0">
      <alignment vertical="center"/>
    </xf>
    <xf numFmtId="164" fontId="5" fillId="0" borderId="9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Continuous" vertical="center"/>
    </xf>
    <xf numFmtId="0" fontId="6" fillId="0" borderId="8" applyAlignment="1" pivotButton="0" quotePrefix="0" xfId="0">
      <alignment vertical="center"/>
    </xf>
    <xf numFmtId="0" fontId="6" fillId="0" borderId="5" applyAlignment="1" pivotButton="0" quotePrefix="0" xfId="0">
      <alignment horizontal="centerContinuous" vertical="center"/>
    </xf>
    <xf numFmtId="0" fontId="6" fillId="0" borderId="7" applyAlignment="1" pivotButton="0" quotePrefix="0" xfId="0">
      <alignment horizontal="centerContinuous" vertical="center"/>
    </xf>
    <xf numFmtId="0" fontId="6" fillId="0" borderId="8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Continuous" vertical="center"/>
    </xf>
    <xf numFmtId="0" fontId="2" fillId="0" borderId="0" applyAlignment="1" pivotButton="0" quotePrefix="0" xfId="0">
      <alignment vertical="center"/>
    </xf>
    <xf numFmtId="0" fontId="2" fillId="2" borderId="10" applyAlignment="1" pivotButton="0" quotePrefix="0" xfId="1">
      <alignment horizontal="center" vertical="center"/>
    </xf>
    <xf numFmtId="0" fontId="2" fillId="0" borderId="2" applyAlignment="1" pivotButton="0" quotePrefix="0" xfId="0">
      <alignment vertical="center"/>
    </xf>
    <xf numFmtId="0" fontId="2" fillId="2" borderId="2" applyAlignment="1" pivotButton="0" quotePrefix="0" xfId="1">
      <alignment horizontal="center" vertical="center"/>
    </xf>
    <xf numFmtId="0" fontId="2" fillId="2" borderId="11" applyAlignment="1" pivotButton="0" quotePrefix="0" xfId="1">
      <alignment horizontal="center" vertical="center"/>
    </xf>
    <xf numFmtId="0" fontId="2" fillId="4" borderId="10" applyAlignment="1" pivotButton="0" quotePrefix="0" xfId="1">
      <alignment horizontal="center" vertical="center"/>
    </xf>
    <xf numFmtId="164" fontId="2" fillId="0" borderId="2" applyAlignment="1" pivotButton="0" quotePrefix="0" xfId="0">
      <alignment vertical="center"/>
    </xf>
    <xf numFmtId="0" fontId="2" fillId="2" borderId="2" applyAlignment="1" pivotButton="0" quotePrefix="0" xfId="1">
      <alignment horizontal="centerContinuous" vertical="center"/>
    </xf>
    <xf numFmtId="0" fontId="2" fillId="2" borderId="10" applyAlignment="1" pivotButton="0" quotePrefix="0" xfId="1">
      <alignment horizontal="centerContinuous" vertical="center"/>
    </xf>
    <xf numFmtId="164" fontId="2" fillId="0" borderId="6" applyAlignment="1" pivotButton="0" quotePrefix="0" xfId="0">
      <alignment vertical="center"/>
    </xf>
    <xf numFmtId="0" fontId="2" fillId="4" borderId="11" applyAlignment="1" pivotButton="0" quotePrefix="0" xfId="1">
      <alignment horizontal="center" vertical="center"/>
    </xf>
    <xf numFmtId="0" fontId="2" fillId="4" borderId="12" applyAlignment="1" pivotButton="0" quotePrefix="0" xfId="1">
      <alignment horizontal="center" vertical="center"/>
    </xf>
    <xf numFmtId="0" fontId="5" fillId="0" borderId="8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14" fontId="0" fillId="4" borderId="0" applyAlignment="1" pivotButton="0" quotePrefix="0" xfId="0">
      <alignment vertical="center"/>
    </xf>
    <xf numFmtId="0" fontId="0" fillId="9" borderId="2" applyAlignment="1" pivotButton="0" quotePrefix="0" xfId="0">
      <alignment vertical="center"/>
    </xf>
    <xf numFmtId="164" fontId="8" fillId="0" borderId="2" applyAlignment="1" pivotButton="0" quotePrefix="0" xfId="0">
      <alignment vertical="center"/>
    </xf>
    <xf numFmtId="0" fontId="9" fillId="8" borderId="2" applyAlignment="1" pivotButton="0" quotePrefix="0" xfId="0">
      <alignment vertical="center"/>
    </xf>
    <xf numFmtId="164" fontId="9" fillId="8" borderId="2" applyAlignment="1" pivotButton="0" quotePrefix="0" xfId="0">
      <alignment vertical="center"/>
    </xf>
    <xf numFmtId="164" fontId="10" fillId="8" borderId="2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10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2" borderId="6" applyAlignment="1" pivotButton="0" quotePrefix="0" xfId="0">
      <alignment horizontal="center" vertical="center"/>
    </xf>
    <xf numFmtId="164" fontId="2" fillId="0" borderId="8" applyAlignment="1" pivotButton="0" quotePrefix="0" xfId="0">
      <alignment vertical="center"/>
    </xf>
    <xf numFmtId="164" fontId="2" fillId="0" borderId="12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9" fillId="2" borderId="14" applyAlignment="1" pivotButton="0" quotePrefix="0" xfId="0">
      <alignment horizontal="center" vertical="center"/>
    </xf>
    <xf numFmtId="164" fontId="9" fillId="0" borderId="15" applyAlignment="1" pivotButton="0" quotePrefix="0" xfId="0">
      <alignment vertical="center"/>
    </xf>
    <xf numFmtId="164" fontId="9" fillId="0" borderId="16" applyAlignment="1" pivotButton="0" quotePrefix="0" xfId="0">
      <alignment vertical="center"/>
    </xf>
    <xf numFmtId="164" fontId="9" fillId="0" borderId="17" applyAlignment="1" pivotButton="0" quotePrefix="0" xfId="0">
      <alignment vertical="center"/>
    </xf>
    <xf numFmtId="164" fontId="2" fillId="6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10" borderId="2" applyAlignment="1" pivotButton="0" quotePrefix="0" xfId="0">
      <alignment vertical="center"/>
    </xf>
    <xf numFmtId="164" fontId="7" fillId="4" borderId="8" applyAlignment="1" pivotButton="0" quotePrefix="0" xfId="0">
      <alignment vertical="center"/>
    </xf>
    <xf numFmtId="164" fontId="5" fillId="4" borderId="5" applyAlignment="1" pivotButton="0" quotePrefix="0" xfId="0">
      <alignment vertical="center"/>
    </xf>
    <xf numFmtId="164" fontId="7" fillId="4" borderId="7" applyAlignment="1" pivotButton="0" quotePrefix="0" xfId="0">
      <alignment vertical="center"/>
    </xf>
    <xf numFmtId="164" fontId="7" fillId="4" borderId="6" applyAlignment="1" pivotButton="0" quotePrefix="0" xfId="0">
      <alignment vertical="center"/>
    </xf>
    <xf numFmtId="164" fontId="7" fillId="4" borderId="2" applyAlignment="1" pivotButton="0" quotePrefix="0" xfId="0">
      <alignment vertical="center"/>
    </xf>
    <xf numFmtId="164" fontId="5" fillId="0" borderId="8" applyAlignment="1" pivotButton="0" quotePrefix="0" xfId="0">
      <alignment vertical="center"/>
    </xf>
    <xf numFmtId="164" fontId="5" fillId="0" borderId="5" applyAlignment="1" pivotButton="0" quotePrefix="0" xfId="0">
      <alignment horizontal="right" vertical="center" wrapText="1"/>
    </xf>
    <xf numFmtId="164" fontId="5" fillId="0" borderId="7" applyAlignment="1" pivotButton="0" quotePrefix="0" xfId="0">
      <alignment vertical="center"/>
    </xf>
    <xf numFmtId="164" fontId="5" fillId="0" borderId="6" applyAlignment="1" pivotButton="0" quotePrefix="0" xfId="0">
      <alignment horizontal="right" vertical="center" wrapText="1"/>
    </xf>
    <xf numFmtId="164" fontId="5" fillId="0" borderId="2" applyAlignment="1" pivotButton="0" quotePrefix="0" xfId="0">
      <alignment vertical="center"/>
    </xf>
    <xf numFmtId="164" fontId="5" fillId="0" borderId="2" applyAlignment="1" pivotButton="0" quotePrefix="0" xfId="0">
      <alignment horizontal="right" vertical="center" wrapText="1"/>
    </xf>
    <xf numFmtId="164" fontId="5" fillId="0" borderId="9" applyAlignment="1" pivotButton="0" quotePrefix="0" xfId="0">
      <alignment vertical="center" wrapText="1"/>
    </xf>
    <xf numFmtId="164" fontId="5" fillId="0" borderId="9" applyAlignment="1" pivotButton="0" quotePrefix="0" xfId="0">
      <alignment horizontal="right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2" fillId="6" borderId="2" applyAlignment="1" pivotButton="0" quotePrefix="0" xfId="0">
      <alignment horizontal="center" vertical="center"/>
    </xf>
    <xf numFmtId="164" fontId="2" fillId="4" borderId="2" applyAlignment="1" pivotButton="0" quotePrefix="0" xfId="0">
      <alignment vertical="center"/>
    </xf>
    <xf numFmtId="164" fontId="2" fillId="6" borderId="2" applyAlignment="1" pivotButton="0" quotePrefix="0" xfId="0">
      <alignment vertical="center"/>
    </xf>
    <xf numFmtId="164" fontId="2" fillId="6" borderId="2" applyAlignment="1" pivotButton="0" quotePrefix="0" xfId="1">
      <alignment horizontal="right" vertical="center"/>
    </xf>
    <xf numFmtId="164" fontId="2" fillId="4" borderId="2" applyAlignment="1" pivotButton="0" quotePrefix="0" xfId="1">
      <alignment horizontal="right" vertical="center"/>
    </xf>
    <xf numFmtId="14" fontId="2" fillId="6" borderId="2" applyAlignment="1" pivotButton="0" quotePrefix="0" xfId="0">
      <alignment horizontal="center" vertical="center"/>
    </xf>
    <xf numFmtId="164" fontId="2" fillId="6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14" fontId="2" fillId="6" borderId="2" applyAlignment="1" pivotButton="0" quotePrefix="0" xfId="0">
      <alignment horizontal="left" vertical="center"/>
    </xf>
    <xf numFmtId="164" fontId="2" fillId="0" borderId="2" applyAlignment="1" pivotButton="0" quotePrefix="0" xfId="0">
      <alignment vertical="center"/>
    </xf>
    <xf numFmtId="164" fontId="8" fillId="0" borderId="2" applyAlignment="1" pivotButton="0" quotePrefix="0" xfId="0">
      <alignment vertical="center"/>
    </xf>
    <xf numFmtId="164" fontId="9" fillId="8" borderId="2" applyAlignment="1" pivotButton="0" quotePrefix="0" xfId="0">
      <alignment vertical="center"/>
    </xf>
    <xf numFmtId="164" fontId="10" fillId="8" borderId="2" applyAlignment="1" pivotButton="0" quotePrefix="0" xfId="0">
      <alignment vertical="center"/>
    </xf>
    <xf numFmtId="164" fontId="2" fillId="0" borderId="6" applyAlignment="1" pivotButton="0" quotePrefix="0" xfId="0">
      <alignment vertical="center"/>
    </xf>
    <xf numFmtId="164" fontId="9" fillId="0" borderId="15" applyAlignment="1" pivotButton="0" quotePrefix="0" xfId="0">
      <alignment vertical="center"/>
    </xf>
    <xf numFmtId="164" fontId="2" fillId="0" borderId="8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9" fillId="0" borderId="16" applyAlignment="1" pivotButton="0" quotePrefix="0" xfId="0">
      <alignment vertical="center"/>
    </xf>
    <xf numFmtId="164" fontId="2" fillId="0" borderId="12" applyAlignment="1" pivotButton="0" quotePrefix="0" xfId="0">
      <alignment vertical="center"/>
    </xf>
    <xf numFmtId="164" fontId="2" fillId="0" borderId="10" applyAlignment="1" pivotButton="0" quotePrefix="0" xfId="0">
      <alignment vertical="center"/>
    </xf>
    <xf numFmtId="164" fontId="9" fillId="0" borderId="17" applyAlignment="1" pivotButton="0" quotePrefix="0" xfId="0">
      <alignment vertical="center"/>
    </xf>
  </cellXfs>
  <cellStyles count="2">
    <cellStyle name="표준" xfId="0" builtinId="0"/>
    <cellStyle name="표준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en-US"/>
              <a:t>회비 입출내역 및 변동추이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증감분석!$Q$10</f>
              <strCache>
                <ptCount val="1"/>
                <pt idx="0">
                  <v>입금</v>
                </pt>
              </strCache>
            </strRef>
          </tx>
          <spPr>
            <a:ln xmlns:a="http://schemas.openxmlformats.org/drawingml/2006/main" w="381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증감분석!$P$11:$P$32</f>
              <strCache>
                <ptCount val="22"/>
                <pt idx="0">
                  <v>24년 6월</v>
                </pt>
                <pt idx="1">
                  <v>24년 7월</v>
                </pt>
                <pt idx="2">
                  <v>24년 8월</v>
                </pt>
                <pt idx="3">
                  <v>24년 9월</v>
                </pt>
                <pt idx="4">
                  <v>24년 10월</v>
                </pt>
                <pt idx="5">
                  <v>24년 11월</v>
                </pt>
                <pt idx="6">
                  <v>24년 12월</v>
                </pt>
                <pt idx="7">
                  <v>25년 1월</v>
                </pt>
                <pt idx="8">
                  <v>25년 2월</v>
                </pt>
                <pt idx="9">
                  <v>25년 3월</v>
                </pt>
                <pt idx="10">
                  <v>25년 4월</v>
                </pt>
                <pt idx="11">
                  <v>25년 5월</v>
                </pt>
                <pt idx="12">
                  <v>25년 6월</v>
                </pt>
                <pt idx="13">
                  <v>25년 7월</v>
                </pt>
                <pt idx="14">
                  <v>25년 8월</v>
                </pt>
                <pt idx="15">
                  <v>25년 9월</v>
                </pt>
                <pt idx="16">
                  <v>25년 10월</v>
                </pt>
                <pt idx="17">
                  <v>25년 11월</v>
                </pt>
                <pt idx="18">
                  <v>25년 12월</v>
                </pt>
                <pt idx="19">
                  <v>26년 1월</v>
                </pt>
                <pt idx="20">
                  <v>26년 2월</v>
                </pt>
                <pt idx="21">
                  <v>26년 3월</v>
                </pt>
              </strCache>
            </strRef>
          </cat>
          <val>
            <numRef>
              <f>증감분석!$Q$11:$Q$32</f>
              <numCache>
                <formatCode>#,##0;[Red]\(#,##0\);"-"</formatCode>
                <ptCount val="22"/>
                <pt idx="0">
                  <v>1100000</v>
                </pt>
                <pt idx="1">
                  <v>1300000</v>
                </pt>
                <pt idx="2">
                  <v>1400000</v>
                </pt>
                <pt idx="3">
                  <v>1300000</v>
                </pt>
                <pt idx="4">
                  <v>1300000</v>
                </pt>
                <pt idx="5">
                  <v>1300000</v>
                </pt>
                <pt idx="6">
                  <v>1601438</v>
                </pt>
                <pt idx="7">
                  <v>1700166</v>
                </pt>
                <pt idx="8">
                  <v>1700266</v>
                </pt>
                <pt idx="9">
                  <v>1700253</v>
                </pt>
                <pt idx="10">
                  <v>1700000</v>
                </pt>
                <pt idx="11">
                  <v>1700944</v>
                </pt>
                <pt idx="12">
                  <v>1700426</v>
                </pt>
                <pt idx="13">
                  <v>1830671</v>
                </pt>
                <pt idx="14">
                  <v>1840737</v>
                </pt>
                <pt idx="15">
                  <v>1800436</v>
                </pt>
                <pt idx="16">
                  <v>1800332</v>
                </pt>
                <pt idx="17">
                  <v>1800736</v>
                </pt>
                <pt idx="18">
                  <v>1903179</v>
                </pt>
                <pt idx="19">
                  <v>1850166</v>
                </pt>
                <pt idx="20">
                  <v>1900000</v>
                </pt>
                <pt idx="21">
                  <v>2050568</v>
                </pt>
              </numCache>
            </numRef>
          </val>
          <smooth val="0"/>
        </ser>
        <ser>
          <idx val="1"/>
          <order val="1"/>
          <tx>
            <strRef>
              <f>증감분석!$R$10</f>
              <strCache>
                <ptCount val="1"/>
                <pt idx="0">
                  <v>출금</v>
                </pt>
              </strCache>
            </strRef>
          </tx>
          <spPr>
            <a:ln xmlns:a="http://schemas.openxmlformats.org/drawingml/2006/main" w="3810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증감분석!$P$11:$P$32</f>
              <strCache>
                <ptCount val="22"/>
                <pt idx="0">
                  <v>24년 6월</v>
                </pt>
                <pt idx="1">
                  <v>24년 7월</v>
                </pt>
                <pt idx="2">
                  <v>24년 8월</v>
                </pt>
                <pt idx="3">
                  <v>24년 9월</v>
                </pt>
                <pt idx="4">
                  <v>24년 10월</v>
                </pt>
                <pt idx="5">
                  <v>24년 11월</v>
                </pt>
                <pt idx="6">
                  <v>24년 12월</v>
                </pt>
                <pt idx="7">
                  <v>25년 1월</v>
                </pt>
                <pt idx="8">
                  <v>25년 2월</v>
                </pt>
                <pt idx="9">
                  <v>25년 3월</v>
                </pt>
                <pt idx="10">
                  <v>25년 4월</v>
                </pt>
                <pt idx="11">
                  <v>25년 5월</v>
                </pt>
                <pt idx="12">
                  <v>25년 6월</v>
                </pt>
                <pt idx="13">
                  <v>25년 7월</v>
                </pt>
                <pt idx="14">
                  <v>25년 8월</v>
                </pt>
                <pt idx="15">
                  <v>25년 9월</v>
                </pt>
                <pt idx="16">
                  <v>25년 10월</v>
                </pt>
                <pt idx="17">
                  <v>25년 11월</v>
                </pt>
                <pt idx="18">
                  <v>25년 12월</v>
                </pt>
                <pt idx="19">
                  <v>26년 1월</v>
                </pt>
                <pt idx="20">
                  <v>26년 2월</v>
                </pt>
                <pt idx="21">
                  <v>26년 3월</v>
                </pt>
              </strCache>
            </strRef>
          </cat>
          <val>
            <numRef>
              <f>증감분석!$R$11:$R$32</f>
              <numCache>
                <formatCode>#,##0;[Red]\(#,##0\);"-"</formatCode>
                <ptCount val="22"/>
                <pt idx="0">
                  <v>677400</v>
                </pt>
                <pt idx="1">
                  <v>547800</v>
                </pt>
                <pt idx="2">
                  <v>411200</v>
                </pt>
                <pt idx="3">
                  <v>2053800</v>
                </pt>
                <pt idx="4">
                  <v>1573000</v>
                </pt>
                <pt idx="5">
                  <v>657910</v>
                </pt>
                <pt idx="6">
                  <v>2627000</v>
                </pt>
                <pt idx="7">
                  <v>1267300</v>
                </pt>
                <pt idx="8">
                  <v>420800</v>
                </pt>
                <pt idx="9">
                  <v>1086770</v>
                </pt>
                <pt idx="10">
                  <v>1276000</v>
                </pt>
                <pt idx="11">
                  <v>1653500</v>
                </pt>
                <pt idx="12">
                  <v>1703400</v>
                </pt>
                <pt idx="13">
                  <v>718000</v>
                </pt>
                <pt idx="14">
                  <v>3016350</v>
                </pt>
                <pt idx="15">
                  <v>2131570</v>
                </pt>
                <pt idx="16">
                  <v>848000</v>
                </pt>
                <pt idx="17">
                  <v>1644400</v>
                </pt>
                <pt idx="18">
                  <v>5169100</v>
                </pt>
                <pt idx="19">
                  <v>850000</v>
                </pt>
                <pt idx="20">
                  <v>1307100</v>
                </pt>
                <pt idx="21">
                  <v>630000</v>
                </pt>
              </numCache>
            </numRef>
          </val>
          <smooth val="0"/>
        </ser>
        <ser>
          <idx val="2"/>
          <order val="2"/>
          <tx>
            <strRef>
              <f>증감분석!$S$10</f>
              <strCache>
                <ptCount val="1"/>
                <pt idx="0">
                  <v>누적</v>
                </pt>
              </strCache>
            </strRef>
          </tx>
          <spPr>
            <a:ln xmlns:a="http://schemas.openxmlformats.org/drawingml/2006/main" w="3810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증감분석!$P$11:$P$32</f>
              <strCache>
                <ptCount val="22"/>
                <pt idx="0">
                  <v>24년 6월</v>
                </pt>
                <pt idx="1">
                  <v>24년 7월</v>
                </pt>
                <pt idx="2">
                  <v>24년 8월</v>
                </pt>
                <pt idx="3">
                  <v>24년 9월</v>
                </pt>
                <pt idx="4">
                  <v>24년 10월</v>
                </pt>
                <pt idx="5">
                  <v>24년 11월</v>
                </pt>
                <pt idx="6">
                  <v>24년 12월</v>
                </pt>
                <pt idx="7">
                  <v>25년 1월</v>
                </pt>
                <pt idx="8">
                  <v>25년 2월</v>
                </pt>
                <pt idx="9">
                  <v>25년 3월</v>
                </pt>
                <pt idx="10">
                  <v>25년 4월</v>
                </pt>
                <pt idx="11">
                  <v>25년 5월</v>
                </pt>
                <pt idx="12">
                  <v>25년 6월</v>
                </pt>
                <pt idx="13">
                  <v>25년 7월</v>
                </pt>
                <pt idx="14">
                  <v>25년 8월</v>
                </pt>
                <pt idx="15">
                  <v>25년 9월</v>
                </pt>
                <pt idx="16">
                  <v>25년 10월</v>
                </pt>
                <pt idx="17">
                  <v>25년 11월</v>
                </pt>
                <pt idx="18">
                  <v>25년 12월</v>
                </pt>
                <pt idx="19">
                  <v>26년 1월</v>
                </pt>
                <pt idx="20">
                  <v>26년 2월</v>
                </pt>
                <pt idx="21">
                  <v>26년 3월</v>
                </pt>
              </strCache>
            </strRef>
          </cat>
          <val>
            <numRef>
              <f>증감분석!$S$11:$S$32</f>
              <numCache>
                <formatCode>#,##0;[Red]\(#,##0\);"-"</formatCode>
                <ptCount val="22"/>
                <pt idx="0">
                  <v>422600</v>
                </pt>
                <pt idx="1">
                  <v>1174800</v>
                </pt>
                <pt idx="2">
                  <v>2163600</v>
                </pt>
                <pt idx="3">
                  <v>1409800</v>
                </pt>
                <pt idx="4">
                  <v>1136800</v>
                </pt>
                <pt idx="5">
                  <v>1778890</v>
                </pt>
                <pt idx="6">
                  <v>753328</v>
                </pt>
                <pt idx="7">
                  <v>1186194</v>
                </pt>
                <pt idx="8">
                  <v>2465660</v>
                </pt>
                <pt idx="9">
                  <v>3079143</v>
                </pt>
                <pt idx="10">
                  <v>3503143</v>
                </pt>
                <pt idx="11">
                  <v>3550587</v>
                </pt>
                <pt idx="12">
                  <v>3547613</v>
                </pt>
                <pt idx="13">
                  <v>4660284</v>
                </pt>
                <pt idx="14">
                  <v>3484671</v>
                </pt>
                <pt idx="15">
                  <v>3153537</v>
                </pt>
                <pt idx="16">
                  <v>4105869</v>
                </pt>
                <pt idx="17">
                  <v>4262205</v>
                </pt>
                <pt idx="18">
                  <v>996284</v>
                </pt>
                <pt idx="19">
                  <v>1996450</v>
                </pt>
                <pt idx="20">
                  <v>2589350</v>
                </pt>
                <pt idx="21">
                  <v>4009918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49323040"/>
        <axId val="1949323520"/>
      </lineChart>
      <catAx>
        <axId val="1949323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949323520"/>
        <crosses val="autoZero"/>
        <auto val="1"/>
        <lblAlgn val="ctr"/>
        <lblOffset val="100"/>
        <noMultiLvlLbl val="0"/>
      </catAx>
      <valAx>
        <axId val="19493235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#,##0;[Red]\(#,##0\);&quot;-&quot;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949323040"/>
        <crosses val="autoZero"/>
        <crossBetween val="between"/>
        <majorUnit val="500000"/>
        <minorUnit val="250000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20</col>
      <colOff>654424</colOff>
      <row>26</row>
      <rowOff>80682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tabSelected="1" view="pageBreakPreview" zoomScale="115" zoomScaleNormal="85" zoomScaleSheetLayoutView="115" workbookViewId="0">
      <selection activeCell="J18" sqref="J18"/>
    </sheetView>
  </sheetViews>
  <sheetFormatPr baseColWidth="8" defaultRowHeight="22.5" customHeight="1"/>
  <cols>
    <col width="16.25" customWidth="1" style="99" min="1" max="1"/>
    <col width="0.5" customWidth="1" style="99" min="2" max="2"/>
    <col width="13.875" customWidth="1" style="99" min="3" max="3"/>
    <col width="14.75" customWidth="1" style="99" min="4" max="4"/>
    <col width="0.5" customWidth="1" style="99" min="5" max="5"/>
    <col width="13.375" customWidth="1" style="99" min="6" max="6"/>
    <col width="15" customWidth="1" style="99" min="7" max="7"/>
    <col width="0.5" customWidth="1" style="99" min="8" max="8"/>
    <col width="13.375" customWidth="1" style="99" min="9" max="9"/>
    <col width="16.25" customWidth="1" style="99" min="10" max="10"/>
  </cols>
  <sheetData>
    <row r="1" ht="22.5" customHeight="1" s="99">
      <c r="A1" s="18" t="n"/>
      <c r="B1" s="18" t="n"/>
      <c r="C1" s="19">
        <f>참고!$E$5</f>
        <v/>
      </c>
      <c r="D1" s="18" t="n"/>
      <c r="E1" s="18" t="n"/>
      <c r="F1" s="19">
        <f>참고!$D$5</f>
        <v/>
      </c>
      <c r="G1" s="18" t="n"/>
      <c r="H1" s="18" t="n"/>
      <c r="I1" s="18" t="n"/>
      <c r="J1" s="18" t="n"/>
    </row>
    <row r="2" ht="52.15" customHeight="1" s="99">
      <c r="A2" s="33" t="inlineStr">
        <is>
          <t>구분</t>
        </is>
      </c>
      <c r="B2" s="45" t="n"/>
      <c r="C2" s="32" t="inlineStr">
        <is>
          <t>전월</t>
        </is>
      </c>
      <c r="D2" s="33" t="n"/>
      <c r="E2" s="44" t="n"/>
      <c r="F2" s="34" t="inlineStr">
        <is>
          <t>당월</t>
        </is>
      </c>
      <c r="G2" s="33" t="n"/>
      <c r="H2" s="44" t="n"/>
      <c r="I2" s="33" t="inlineStr">
        <is>
          <t>누적</t>
        </is>
      </c>
      <c r="J2" s="33" t="n"/>
    </row>
    <row r="3" ht="3" customHeight="1" s="99">
      <c r="A3" s="48" t="n"/>
      <c r="B3" s="49" t="n"/>
      <c r="C3" s="50" t="n"/>
      <c r="D3" s="51" t="n"/>
      <c r="E3" s="52" t="n"/>
      <c r="F3" s="53" t="n"/>
      <c r="G3" s="48" t="n"/>
      <c r="H3" s="52" t="n"/>
      <c r="I3" s="48" t="n"/>
      <c r="J3" s="48" t="n"/>
    </row>
    <row r="4" ht="40.15" customHeight="1" s="99">
      <c r="A4" s="39" t="inlineStr">
        <is>
          <t xml:space="preserve"> 입금</t>
        </is>
      </c>
      <c r="B4" s="101" t="n"/>
      <c r="C4" s="102" t="n"/>
      <c r="D4" s="103">
        <f>SUM(C5:C7)</f>
        <v/>
      </c>
      <c r="E4" s="101" t="n"/>
      <c r="F4" s="104" t="n"/>
      <c r="G4" s="105">
        <f>SUM(F5:F7)</f>
        <v/>
      </c>
      <c r="H4" s="101" t="n"/>
      <c r="I4" s="105" t="n"/>
      <c r="J4" s="105">
        <f>SUM(I5:I7)</f>
        <v/>
      </c>
    </row>
    <row r="5" ht="28.15" customHeight="1" s="99">
      <c r="A5" s="47" t="inlineStr">
        <is>
          <t>회비</t>
        </is>
      </c>
      <c r="B5" s="106" t="n"/>
      <c r="C5" s="107">
        <f>SUMIFS(원장!$H:$H,원장!$E:$E,회비입출내역!$A5,원장!$A:$A,회비입출내역!$C$1)</f>
        <v/>
      </c>
      <c r="D5" s="108" t="n"/>
      <c r="E5" s="106" t="n"/>
      <c r="F5" s="109">
        <f>SUMIFS(원장!$H:$H,원장!$E:$E,회비입출내역!$A5,원장!$A:$A,회비입출내역!$F$1)</f>
        <v/>
      </c>
      <c r="G5" s="110" t="n"/>
      <c r="H5" s="106" t="n"/>
      <c r="I5" s="111">
        <f>SUMIFS(원장!$H:$H,원장!$E:$E,회비입출내역!$A5)</f>
        <v/>
      </c>
      <c r="J5" s="110" t="n"/>
    </row>
    <row r="6" ht="28.15" customHeight="1" s="99">
      <c r="A6" s="47" t="inlineStr">
        <is>
          <t>지각비</t>
        </is>
      </c>
      <c r="B6" s="106" t="n"/>
      <c r="C6" s="107">
        <f>SUMIFS(원장!$H:$H,원장!$E:$E,회비입출내역!$A6,원장!$A:$A,회비입출내역!$C$1)</f>
        <v/>
      </c>
      <c r="D6" s="108" t="n"/>
      <c r="E6" s="106" t="n"/>
      <c r="F6" s="109">
        <f>SUMIFS(원장!$H:$H,원장!$E:$E,회비입출내역!$A6,원장!$A:$A,회비입출내역!$F$1)</f>
        <v/>
      </c>
      <c r="G6" s="110" t="n"/>
      <c r="H6" s="106" t="n"/>
      <c r="I6" s="111">
        <f>SUMIFS(원장!$H:$H,원장!$E:$E,회비입출내역!$A6)</f>
        <v/>
      </c>
      <c r="J6" s="110" t="n"/>
    </row>
    <row r="7" ht="28.15" customHeight="1" s="99">
      <c r="A7" s="47" t="inlineStr">
        <is>
          <t>이자</t>
        </is>
      </c>
      <c r="B7" s="106" t="n"/>
      <c r="C7" s="107">
        <f>SUMIFS(원장!$H:$H,원장!$E:$E,회비입출내역!$A7,원장!$A:$A,회비입출내역!$C$1)</f>
        <v/>
      </c>
      <c r="D7" s="108" t="n"/>
      <c r="E7" s="106" t="n"/>
      <c r="F7" s="109">
        <f>SUMIFS(원장!$H:$H,원장!$E:$E,회비입출내역!$A7,원장!$A:$A,회비입출내역!$F$1)</f>
        <v/>
      </c>
      <c r="G7" s="110" t="n"/>
      <c r="H7" s="106" t="n"/>
      <c r="I7" s="111">
        <f>SUMIFS(원장!$H:$H,원장!$E:$E,회비입출내역!$A7)</f>
        <v/>
      </c>
      <c r="J7" s="110" t="n"/>
    </row>
    <row r="8" ht="3" customHeight="1" s="99">
      <c r="A8" s="48" t="n"/>
      <c r="B8" s="49" t="n"/>
      <c r="C8" s="50" t="n"/>
      <c r="D8" s="51" t="n"/>
      <c r="E8" s="52" t="n"/>
      <c r="F8" s="53" t="n"/>
      <c r="G8" s="48" t="n"/>
      <c r="H8" s="52" t="n"/>
      <c r="I8" s="48" t="n"/>
      <c r="J8" s="48" t="n"/>
    </row>
    <row r="9" ht="40.15" customHeight="1" s="99">
      <c r="A9" s="39" t="inlineStr">
        <is>
          <t xml:space="preserve"> 출금</t>
        </is>
      </c>
      <c r="B9" s="101" t="n"/>
      <c r="C9" s="27" t="n"/>
      <c r="D9" s="103">
        <f>SUM(C10:C15)</f>
        <v/>
      </c>
      <c r="E9" s="101" t="n"/>
      <c r="F9" s="38" t="n"/>
      <c r="G9" s="105">
        <f>SUM(F10:F15)</f>
        <v/>
      </c>
      <c r="H9" s="101" t="n"/>
      <c r="I9" s="39" t="n"/>
      <c r="J9" s="105">
        <f>SUM(I10:I15)</f>
        <v/>
      </c>
    </row>
    <row r="10" ht="28.15" customHeight="1" s="99">
      <c r="A10" s="47" t="inlineStr">
        <is>
          <t>모임비</t>
        </is>
      </c>
      <c r="B10" s="112" t="n"/>
      <c r="C10" s="111">
        <f>SUMIFS(원장!$H:$H,원장!$E:$E,회비입출내역!$A10,원장!$A:$A,회비입출내역!$C$1)</f>
        <v/>
      </c>
      <c r="D10" s="111" t="n"/>
      <c r="E10" s="113" t="n"/>
      <c r="F10" s="109">
        <f>SUMIFS(원장!$H:$H,원장!$E:$E,회비입출내역!$A10,원장!$A:$A,회비입출내역!$F$1)</f>
        <v/>
      </c>
      <c r="G10" s="111" t="n"/>
      <c r="H10" s="113" t="n"/>
      <c r="I10" s="111">
        <f>SUMIFS(원장!$H:$H,원장!$E:$E,회비입출내역!$A10)</f>
        <v/>
      </c>
      <c r="J10" s="111" t="n"/>
    </row>
    <row r="11" ht="28.15" customHeight="1" s="99">
      <c r="A11" s="47" t="inlineStr">
        <is>
          <t>강연비</t>
        </is>
      </c>
      <c r="B11" s="112" t="n"/>
      <c r="C11" s="111">
        <f>SUMIFS(원장!$H:$H,원장!$E:$E,회비입출내역!$A11,원장!$A:$A,회비입출내역!$C$1)</f>
        <v/>
      </c>
      <c r="D11" s="111" t="n"/>
      <c r="E11" s="113" t="n"/>
      <c r="F11" s="109">
        <f>SUMIFS(원장!$H:$H,원장!$E:$E,회비입출내역!$A11,원장!$A:$A,회비입출내역!$F$1)</f>
        <v/>
      </c>
      <c r="G11" s="111" t="n"/>
      <c r="H11" s="113" t="n"/>
      <c r="I11" s="111">
        <f>SUMIFS(원장!$H:$H,원장!$E:$E,회비입출내역!$A11)</f>
        <v/>
      </c>
      <c r="J11" s="111" t="n"/>
    </row>
    <row r="12" ht="28.15" customHeight="1" s="99">
      <c r="A12" s="47" t="inlineStr">
        <is>
          <t>경조사비</t>
        </is>
      </c>
      <c r="B12" s="43" t="n"/>
      <c r="C12" s="107">
        <f>SUMIFS(원장!$H:$H,원장!$E:$E,회비입출내역!$A12,원장!$A:$A,회비입출내역!$C$1)</f>
        <v/>
      </c>
      <c r="D12" s="22" t="n"/>
      <c r="E12" s="43" t="n"/>
      <c r="F12" s="109">
        <f>SUMIFS(원장!$H:$H,원장!$E:$E,회비입출내역!$A12,원장!$A:$A,회비입출내역!$F$1)</f>
        <v/>
      </c>
      <c r="G12" s="22" t="n"/>
      <c r="H12" s="43" t="n"/>
      <c r="I12" s="111">
        <f>SUMIFS(원장!$H:$H,원장!$E:$E,회비입출내역!$A12)</f>
        <v/>
      </c>
      <c r="J12" s="22" t="n"/>
    </row>
    <row r="13" ht="28.15" customHeight="1" s="99">
      <c r="A13" s="47" t="inlineStr">
        <is>
          <t>경품비</t>
        </is>
      </c>
      <c r="B13" s="66" t="n"/>
      <c r="C13" s="107">
        <f>SUMIFS(원장!$H:$H,원장!$E:$E,회비입출내역!$A13,원장!$A:$A,회비입출내역!$C$1)</f>
        <v/>
      </c>
      <c r="D13" s="22" t="n"/>
      <c r="E13" s="43" t="n"/>
      <c r="F13" s="109">
        <f>SUMIFS(원장!$H:$H,원장!$E:$E,회비입출내역!$A13,원장!$A:$A,회비입출내역!$F$1)</f>
        <v/>
      </c>
      <c r="G13" s="22" t="n"/>
      <c r="H13" s="43" t="n"/>
      <c r="I13" s="111">
        <f>SUMIFS(원장!$H:$H,원장!$E:$E,회비입출내역!$A13)</f>
        <v/>
      </c>
      <c r="J13" s="22" t="n"/>
    </row>
    <row r="14" ht="3" customHeight="1" s="99">
      <c r="A14" s="48" t="n"/>
      <c r="B14" s="49" t="n"/>
      <c r="C14" s="50" t="n"/>
      <c r="D14" s="51" t="n"/>
      <c r="E14" s="52" t="n"/>
      <c r="F14" s="53" t="n"/>
      <c r="G14" s="48" t="n"/>
      <c r="H14" s="52" t="n"/>
      <c r="I14" s="48" t="n"/>
      <c r="J14" s="48" t="n"/>
    </row>
    <row r="15" ht="40.15" customHeight="1" s="99">
      <c r="A15" s="39" t="inlineStr">
        <is>
          <t xml:space="preserve"> 입금 - 출금</t>
        </is>
      </c>
      <c r="B15" s="101" t="n"/>
      <c r="C15" s="27" t="n"/>
      <c r="D15" s="103">
        <f>SUM(D4:D13)</f>
        <v/>
      </c>
      <c r="E15" s="101" t="n"/>
      <c r="F15" s="38" t="n"/>
      <c r="G15" s="105">
        <f>SUM(G4:G13)</f>
        <v/>
      </c>
      <c r="H15" s="101" t="n"/>
      <c r="I15" s="39" t="n"/>
      <c r="J15" s="105">
        <f>SUM(J4:J13)</f>
        <v/>
      </c>
    </row>
    <row r="16" ht="22.5" customHeight="1" s="99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14" t="inlineStr">
        <is>
          <t>7월 1일 잔액</t>
        </is>
      </c>
      <c r="J16" s="115" t="n">
        <v>7080270</v>
      </c>
    </row>
    <row r="17" ht="22.5" customHeight="1" s="99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15" t="n"/>
      <c r="J17" s="0">
        <f>J16=J15</f>
        <v/>
      </c>
    </row>
    <row r="18" ht="22.5" customHeight="1" s="99">
      <c r="J18" s="115">
        <f>J15-J16</f>
        <v/>
      </c>
    </row>
    <row r="27" ht="22.5" customHeight="1" s="99">
      <c r="B27" s="116" t="n"/>
      <c r="D27" s="116" t="n"/>
      <c r="E27" s="116" t="n"/>
      <c r="G27" s="116" t="n"/>
      <c r="H27" s="116" t="n"/>
      <c r="I27" s="116" t="n"/>
    </row>
    <row r="28" ht="22.5" customHeight="1" s="99">
      <c r="B28" s="116" t="n"/>
      <c r="D28" s="116" t="n"/>
      <c r="E28" s="116" t="n"/>
      <c r="G28" s="116" t="n"/>
      <c r="H28" s="116" t="n"/>
      <c r="I28" s="116" t="n"/>
    </row>
    <row r="29" ht="22.5" customHeight="1" s="99">
      <c r="B29" s="116" t="n"/>
      <c r="D29" s="116" t="n"/>
      <c r="E29" s="116" t="n"/>
      <c r="G29" s="116" t="n"/>
      <c r="H29" s="116" t="n"/>
      <c r="I29" s="116" t="n"/>
    </row>
    <row r="30" ht="22.5" customHeight="1" s="99">
      <c r="B30" s="116" t="n"/>
      <c r="D30" s="116" t="n"/>
      <c r="E30" s="116" t="n"/>
      <c r="G30" s="116" t="n"/>
      <c r="H30" s="116" t="n"/>
      <c r="I30" s="116" t="n"/>
    </row>
  </sheetData>
  <conditionalFormatting sqref="J17">
    <cfRule type="cellIs" priority="1" operator="equal" dxfId="0">
      <formula>TRUE</formula>
    </cfRule>
  </conditionalFormatting>
  <pageMargins left="0.7" right="0.7" top="0.75" bottom="0.75" header="0.3" footer="0.3"/>
  <pageSetup orientation="portrait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4"/>
  <sheetViews>
    <sheetView zoomScaleNormal="100" workbookViewId="0">
      <pane xSplit="1" ySplit="3" topLeftCell="C4" activePane="bottomRight" state="frozen"/>
      <selection pane="topRight" activeCell="B1" sqref="B1"/>
      <selection pane="bottomLeft" activeCell="A3" sqref="A3"/>
      <selection pane="bottomRight" activeCell="Z15" sqref="Z15"/>
    </sheetView>
  </sheetViews>
  <sheetFormatPr baseColWidth="8" defaultRowHeight="16.5"/>
  <cols>
    <col width="9.375" bestFit="1" customWidth="1" style="99" min="2" max="2"/>
    <col width="10.625" customWidth="1" style="99" min="25" max="25"/>
  </cols>
  <sheetData>
    <row r="1">
      <c r="A1" s="1" t="inlineStr">
        <is>
          <t>No</t>
        </is>
      </c>
      <c r="B1" s="1" t="inlineStr">
        <is>
          <t>조현민</t>
        </is>
      </c>
      <c r="C1" s="1" t="inlineStr">
        <is>
          <t>권한해</t>
        </is>
      </c>
      <c r="D1" s="1" t="inlineStr">
        <is>
          <t>김성환</t>
        </is>
      </c>
      <c r="E1" s="1" t="inlineStr">
        <is>
          <t>김진호</t>
        </is>
      </c>
      <c r="F1" s="1" t="inlineStr">
        <is>
          <t>류성준</t>
        </is>
      </c>
      <c r="G1" s="1" t="inlineStr">
        <is>
          <t>박상용</t>
        </is>
      </c>
      <c r="H1" s="1" t="inlineStr">
        <is>
          <t>박세환</t>
        </is>
      </c>
      <c r="I1" s="1" t="inlineStr">
        <is>
          <t>박승현</t>
        </is>
      </c>
      <c r="J1" s="1" t="inlineStr">
        <is>
          <t>서정권</t>
        </is>
      </c>
      <c r="K1" s="1" t="inlineStr">
        <is>
          <t>옥지엽</t>
        </is>
      </c>
      <c r="L1" s="1" t="inlineStr">
        <is>
          <t>최정훈</t>
        </is>
      </c>
      <c r="M1" s="1" t="inlineStr">
        <is>
          <t>최종하</t>
        </is>
      </c>
      <c r="N1" s="1" t="inlineStr">
        <is>
          <t>강명신</t>
        </is>
      </c>
      <c r="O1" s="1" t="inlineStr">
        <is>
          <t>이대로</t>
        </is>
      </c>
      <c r="P1" s="1" t="inlineStr">
        <is>
          <t>권기표</t>
        </is>
      </c>
      <c r="Q1" s="1" t="inlineStr">
        <is>
          <t>문인욱</t>
        </is>
      </c>
      <c r="R1" s="1" t="inlineStr">
        <is>
          <t>박준하</t>
        </is>
      </c>
      <c r="S1" s="1" t="inlineStr">
        <is>
          <t>황인호</t>
        </is>
      </c>
      <c r="T1" s="1" t="inlineStr">
        <is>
          <t>김서래</t>
        </is>
      </c>
      <c r="U1" s="1" t="inlineStr">
        <is>
          <t>백근호</t>
        </is>
      </c>
      <c r="V1" s="1" t="inlineStr">
        <is>
          <t>윤준원</t>
        </is>
      </c>
      <c r="W1" s="1" t="inlineStr">
        <is>
          <t>김민기</t>
        </is>
      </c>
      <c r="X1" s="1" t="inlineStr">
        <is>
          <t>탈퇴멤버</t>
        </is>
      </c>
      <c r="Y1" s="1" t="inlineStr">
        <is>
          <t>계</t>
        </is>
      </c>
    </row>
    <row r="2">
      <c r="A2" s="1" t="n"/>
      <c r="B2" s="1" t="n"/>
      <c r="C2" s="1" t="n"/>
      <c r="D2" s="1" t="n"/>
      <c r="E2" s="117" t="inlineStr">
        <is>
          <t>유지</t>
        </is>
      </c>
      <c r="F2" s="117" t="inlineStr">
        <is>
          <t>유지</t>
        </is>
      </c>
      <c r="G2" s="117" t="inlineStr">
        <is>
          <t>유지</t>
        </is>
      </c>
      <c r="H2" s="117" t="inlineStr">
        <is>
          <t>유지</t>
        </is>
      </c>
      <c r="I2" s="117" t="inlineStr">
        <is>
          <t>유지</t>
        </is>
      </c>
      <c r="J2" s="117" t="inlineStr">
        <is>
          <t>유지</t>
        </is>
      </c>
      <c r="K2" s="117" t="inlineStr">
        <is>
          <t>유지</t>
        </is>
      </c>
      <c r="L2" s="117" t="inlineStr">
        <is>
          <t>유지</t>
        </is>
      </c>
      <c r="M2" s="117" t="inlineStr">
        <is>
          <t>유지</t>
        </is>
      </c>
      <c r="N2" s="117" t="inlineStr">
        <is>
          <t>유지</t>
        </is>
      </c>
      <c r="O2" s="117" t="inlineStr">
        <is>
          <t>유지</t>
        </is>
      </c>
      <c r="P2" s="117" t="inlineStr">
        <is>
          <t>유지</t>
        </is>
      </c>
      <c r="Q2" s="117" t="inlineStr">
        <is>
          <t>유지</t>
        </is>
      </c>
      <c r="R2" s="117" t="inlineStr">
        <is>
          <t>유지</t>
        </is>
      </c>
      <c r="S2" s="117" t="inlineStr">
        <is>
          <t>유지</t>
        </is>
      </c>
      <c r="T2" s="117" t="inlineStr">
        <is>
          <t>유지</t>
        </is>
      </c>
      <c r="U2" s="117" t="inlineStr">
        <is>
          <t>유지</t>
        </is>
      </c>
      <c r="V2" s="117" t="inlineStr">
        <is>
          <t>유지</t>
        </is>
      </c>
      <c r="W2" s="117" t="inlineStr">
        <is>
          <t>탈퇴</t>
        </is>
      </c>
      <c r="X2" s="117" t="inlineStr">
        <is>
          <t>탈퇴</t>
        </is>
      </c>
      <c r="Y2" s="1" t="n"/>
    </row>
    <row r="3">
      <c r="A3" s="5" t="inlineStr">
        <is>
          <t>누적입금액</t>
        </is>
      </c>
      <c r="B3" s="118">
        <f>SUM(B4:B101)</f>
        <v/>
      </c>
      <c r="C3" s="118">
        <f>SUM(C4:C101)</f>
        <v/>
      </c>
      <c r="D3" s="118">
        <f>SUM(D4:D101)</f>
        <v/>
      </c>
      <c r="E3" s="118">
        <f>SUM(E4:E101)</f>
        <v/>
      </c>
      <c r="F3" s="118">
        <f>SUM(F4:F101)</f>
        <v/>
      </c>
      <c r="G3" s="118">
        <f>SUM(G4:G101)</f>
        <v/>
      </c>
      <c r="H3" s="118">
        <f>SUM(H4:H101)</f>
        <v/>
      </c>
      <c r="I3" s="118">
        <f>SUM(I4:I101)</f>
        <v/>
      </c>
      <c r="J3" s="118">
        <f>SUM(J4:J101)</f>
        <v/>
      </c>
      <c r="K3" s="118">
        <f>SUM(K4:K101)</f>
        <v/>
      </c>
      <c r="L3" s="118">
        <f>SUM(L4:L101)</f>
        <v/>
      </c>
      <c r="M3" s="118">
        <f>SUM(M4:M101)</f>
        <v/>
      </c>
      <c r="N3" s="118">
        <f>SUM(N4:N101)</f>
        <v/>
      </c>
      <c r="O3" s="118">
        <f>SUM(O4:O101)</f>
        <v/>
      </c>
      <c r="P3" s="118">
        <f>SUM(P4:P101)</f>
        <v/>
      </c>
      <c r="Q3" s="118">
        <f>SUM(Q4:Q101)</f>
        <v/>
      </c>
      <c r="R3" s="118">
        <f>SUM(R4:R101)</f>
        <v/>
      </c>
      <c r="S3" s="118">
        <f>SUM(S4:S101)</f>
        <v/>
      </c>
      <c r="T3" s="118">
        <f>SUM(T4:T101)</f>
        <v/>
      </c>
      <c r="U3" s="118">
        <f>SUM(U4:U101)</f>
        <v/>
      </c>
      <c r="V3" s="118">
        <f>SUM(V4:V101)</f>
        <v/>
      </c>
      <c r="W3" s="118">
        <f>SUM(W4:W101)</f>
        <v/>
      </c>
      <c r="X3" s="118">
        <f>SUM(X4:X101)</f>
        <v/>
      </c>
      <c r="Y3" s="118">
        <f>SUM(B3:X3)</f>
        <v/>
      </c>
    </row>
    <row r="4">
      <c r="A4" s="3" t="inlineStr">
        <is>
          <t>24년 6월</t>
        </is>
      </c>
      <c r="B4" s="119" t="n">
        <v>100000</v>
      </c>
      <c r="C4" s="4" t="n"/>
      <c r="D4" s="119" t="n">
        <v>100000</v>
      </c>
      <c r="E4" s="119" t="n">
        <v>100000</v>
      </c>
      <c r="F4" s="119" t="n">
        <v>100000</v>
      </c>
      <c r="G4" s="119" t="n">
        <v>100000</v>
      </c>
      <c r="H4" s="119" t="n">
        <v>100000</v>
      </c>
      <c r="I4" s="119" t="n">
        <v>100000</v>
      </c>
      <c r="J4" s="119" t="n">
        <v>100000</v>
      </c>
      <c r="K4" s="119" t="n">
        <v>100000</v>
      </c>
      <c r="L4" s="119" t="n">
        <v>100000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119" t="n">
        <v>100000</v>
      </c>
      <c r="X4" s="4" t="n"/>
      <c r="Y4" s="118">
        <f>SUM(B4:X4)</f>
        <v/>
      </c>
    </row>
    <row r="5">
      <c r="A5" s="3" t="inlineStr">
        <is>
          <t>24년 7월</t>
        </is>
      </c>
      <c r="B5" s="119" t="n">
        <v>100000</v>
      </c>
      <c r="C5" s="4" t="n"/>
      <c r="D5" s="119" t="n">
        <v>100000</v>
      </c>
      <c r="E5" s="119" t="n">
        <v>100000</v>
      </c>
      <c r="F5" s="119" t="n">
        <v>100000</v>
      </c>
      <c r="G5" s="119" t="n">
        <v>100000</v>
      </c>
      <c r="H5" s="119" t="n">
        <v>100000</v>
      </c>
      <c r="I5" s="119" t="n">
        <v>100000</v>
      </c>
      <c r="J5" s="119" t="n">
        <v>100000</v>
      </c>
      <c r="K5" s="119" t="n">
        <v>100000</v>
      </c>
      <c r="L5" s="119" t="n">
        <v>100000</v>
      </c>
      <c r="M5" s="119" t="n">
        <v>100000</v>
      </c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119" t="n">
        <v>100000</v>
      </c>
      <c r="X5" s="119" t="n">
        <v>100000</v>
      </c>
      <c r="Y5" s="118">
        <f>SUM(B5:X5)</f>
        <v/>
      </c>
    </row>
    <row r="6">
      <c r="A6" s="3" t="inlineStr">
        <is>
          <t>24년 8월</t>
        </is>
      </c>
      <c r="B6" s="119" t="n">
        <v>100000</v>
      </c>
      <c r="C6" s="119" t="n">
        <v>100000</v>
      </c>
      <c r="D6" s="119" t="n">
        <v>100000</v>
      </c>
      <c r="E6" s="119" t="n">
        <v>100000</v>
      </c>
      <c r="F6" s="119" t="n">
        <v>100000</v>
      </c>
      <c r="G6" s="119" t="n">
        <v>100000</v>
      </c>
      <c r="H6" s="119" t="n">
        <v>100000</v>
      </c>
      <c r="I6" s="119" t="n">
        <v>100000</v>
      </c>
      <c r="J6" s="119" t="n">
        <v>100000</v>
      </c>
      <c r="K6" s="119" t="n">
        <v>100000</v>
      </c>
      <c r="L6" s="119" t="n">
        <v>100000</v>
      </c>
      <c r="M6" s="119" t="n">
        <v>100000</v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119" t="n">
        <v>100000</v>
      </c>
      <c r="X6" s="119" t="n">
        <v>100000</v>
      </c>
      <c r="Y6" s="118">
        <f>SUM(B6:X6)</f>
        <v/>
      </c>
    </row>
    <row r="7">
      <c r="A7" s="3" t="inlineStr">
        <is>
          <t>24년 9월</t>
        </is>
      </c>
      <c r="B7" s="119" t="n">
        <v>100000</v>
      </c>
      <c r="C7" s="119" t="n">
        <v>100000</v>
      </c>
      <c r="D7" s="119" t="n">
        <v>100000</v>
      </c>
      <c r="E7" s="119" t="n">
        <v>100000</v>
      </c>
      <c r="F7" s="119" t="n">
        <v>100000</v>
      </c>
      <c r="G7" s="119" t="n">
        <v>100000</v>
      </c>
      <c r="H7" s="119" t="n">
        <v>100000</v>
      </c>
      <c r="I7" s="119" t="n">
        <v>100000</v>
      </c>
      <c r="J7" s="119" t="n">
        <v>100000</v>
      </c>
      <c r="K7" s="119" t="n">
        <v>100000</v>
      </c>
      <c r="L7" s="119" t="n">
        <v>100000</v>
      </c>
      <c r="M7" s="119" t="n">
        <v>100000</v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119" t="n">
        <v>100000</v>
      </c>
      <c r="X7" s="4" t="n"/>
      <c r="Y7" s="118">
        <f>SUM(B7:X7)</f>
        <v/>
      </c>
    </row>
    <row r="8">
      <c r="A8" s="3" t="inlineStr">
        <is>
          <t>24년 10월</t>
        </is>
      </c>
      <c r="B8" s="119" t="n">
        <v>100000</v>
      </c>
      <c r="C8" s="119" t="n">
        <v>100000</v>
      </c>
      <c r="D8" s="119" t="n">
        <v>100000</v>
      </c>
      <c r="E8" s="119" t="n">
        <v>100000</v>
      </c>
      <c r="F8" s="119" t="n">
        <v>100000</v>
      </c>
      <c r="G8" s="119" t="n">
        <v>100000</v>
      </c>
      <c r="H8" s="119" t="n">
        <v>100000</v>
      </c>
      <c r="I8" s="119" t="n">
        <v>100000</v>
      </c>
      <c r="J8" s="119" t="n">
        <v>100000</v>
      </c>
      <c r="K8" s="119" t="n">
        <v>100000</v>
      </c>
      <c r="L8" s="119" t="n">
        <v>100000</v>
      </c>
      <c r="M8" s="119" t="n">
        <v>100000</v>
      </c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119" t="n">
        <v>100000</v>
      </c>
      <c r="X8" s="4" t="n"/>
      <c r="Y8" s="118">
        <f>SUM(B8:X8)</f>
        <v/>
      </c>
    </row>
    <row r="9">
      <c r="A9" s="3" t="inlineStr">
        <is>
          <t>24년 11월</t>
        </is>
      </c>
      <c r="B9" s="119" t="n">
        <v>100000</v>
      </c>
      <c r="C9" s="119" t="n">
        <v>100000</v>
      </c>
      <c r="D9" s="119" t="n">
        <v>100000</v>
      </c>
      <c r="E9" s="119" t="n">
        <v>100000</v>
      </c>
      <c r="F9" s="119" t="n">
        <v>100000</v>
      </c>
      <c r="G9" s="119" t="n">
        <v>100000</v>
      </c>
      <c r="H9" s="119" t="n">
        <v>100000</v>
      </c>
      <c r="I9" s="119" t="n">
        <v>100000</v>
      </c>
      <c r="J9" s="119" t="n">
        <v>100000</v>
      </c>
      <c r="K9" s="119" t="n">
        <v>100000</v>
      </c>
      <c r="L9" s="119" t="n">
        <v>100000</v>
      </c>
      <c r="M9" s="119" t="n">
        <v>100000</v>
      </c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119" t="n">
        <v>100000</v>
      </c>
      <c r="X9" s="4" t="n"/>
      <c r="Y9" s="118">
        <f>SUM(B9:X9)</f>
        <v/>
      </c>
    </row>
    <row r="10">
      <c r="A10" s="3" t="inlineStr">
        <is>
          <t>24년 12월</t>
        </is>
      </c>
      <c r="B10" s="119" t="n">
        <v>100000</v>
      </c>
      <c r="C10" s="119" t="n">
        <v>100000</v>
      </c>
      <c r="D10" s="119" t="n">
        <v>100000</v>
      </c>
      <c r="E10" s="119" t="n">
        <v>100000</v>
      </c>
      <c r="F10" s="119" t="n">
        <v>100000</v>
      </c>
      <c r="G10" s="119" t="n">
        <v>100000</v>
      </c>
      <c r="H10" s="119" t="n">
        <v>100000</v>
      </c>
      <c r="I10" s="119" t="n">
        <v>100000</v>
      </c>
      <c r="J10" s="119" t="n">
        <v>100000</v>
      </c>
      <c r="K10" s="119" t="n">
        <v>100000</v>
      </c>
      <c r="L10" s="119" t="n">
        <v>100000</v>
      </c>
      <c r="M10" s="119" t="n">
        <v>100000</v>
      </c>
      <c r="N10" s="119" t="n">
        <v>100000</v>
      </c>
      <c r="O10" s="119" t="n">
        <v>100000</v>
      </c>
      <c r="P10" s="119" t="n">
        <v>100000</v>
      </c>
      <c r="Q10" s="4" t="n"/>
      <c r="R10" s="4" t="n"/>
      <c r="S10" s="4" t="n"/>
      <c r="T10" s="4" t="n"/>
      <c r="U10" s="4" t="n"/>
      <c r="V10" s="4" t="n"/>
      <c r="W10" s="119" t="n">
        <v>100000</v>
      </c>
      <c r="X10" s="4" t="n"/>
      <c r="Y10" s="118">
        <f>SUM(B10:X10)</f>
        <v/>
      </c>
    </row>
    <row r="11">
      <c r="A11" s="3" t="inlineStr">
        <is>
          <t>25년 1월</t>
        </is>
      </c>
      <c r="B11" s="119" t="n">
        <v>100000</v>
      </c>
      <c r="C11" s="119" t="n">
        <v>100000</v>
      </c>
      <c r="D11" s="119" t="n">
        <v>100000</v>
      </c>
      <c r="E11" s="119" t="n">
        <v>100000</v>
      </c>
      <c r="F11" s="119" t="n">
        <v>100000</v>
      </c>
      <c r="G11" s="119" t="n">
        <v>100000</v>
      </c>
      <c r="H11" s="119" t="n">
        <v>100000</v>
      </c>
      <c r="I11" s="119" t="n">
        <v>100000</v>
      </c>
      <c r="J11" s="119" t="n">
        <v>100000</v>
      </c>
      <c r="K11" s="119" t="n">
        <v>100000</v>
      </c>
      <c r="L11" s="119" t="n">
        <v>100000</v>
      </c>
      <c r="M11" s="119" t="n">
        <v>100000</v>
      </c>
      <c r="N11" s="119" t="n">
        <v>100000</v>
      </c>
      <c r="O11" s="119" t="n">
        <v>100000</v>
      </c>
      <c r="P11" s="119" t="n">
        <v>100000</v>
      </c>
      <c r="Q11" s="119" t="n">
        <v>100000</v>
      </c>
      <c r="R11" s="4" t="n"/>
      <c r="S11" s="4" t="n"/>
      <c r="T11" s="4" t="n"/>
      <c r="U11" s="4" t="n"/>
      <c r="V11" s="4" t="n"/>
      <c r="W11" s="119" t="n">
        <v>100000</v>
      </c>
      <c r="X11" s="4" t="n"/>
      <c r="Y11" s="118">
        <f>SUM(B11:X11)</f>
        <v/>
      </c>
    </row>
    <row r="12">
      <c r="A12" s="3" t="inlineStr">
        <is>
          <t>25년 2월</t>
        </is>
      </c>
      <c r="B12" s="119" t="n">
        <v>100000</v>
      </c>
      <c r="C12" s="119" t="n">
        <v>100000</v>
      </c>
      <c r="D12" s="119" t="n">
        <v>100000</v>
      </c>
      <c r="E12" s="119" t="n">
        <v>100000</v>
      </c>
      <c r="F12" s="119" t="n">
        <v>100000</v>
      </c>
      <c r="G12" s="119" t="n">
        <v>100000</v>
      </c>
      <c r="H12" s="119" t="n">
        <v>100000</v>
      </c>
      <c r="I12" s="119" t="n">
        <v>100000</v>
      </c>
      <c r="J12" s="119" t="n">
        <v>100000</v>
      </c>
      <c r="K12" s="119" t="n">
        <v>100000</v>
      </c>
      <c r="L12" s="119" t="n">
        <v>100000</v>
      </c>
      <c r="M12" s="119" t="n">
        <v>100000</v>
      </c>
      <c r="N12" s="119" t="n">
        <v>100000</v>
      </c>
      <c r="O12" s="119" t="n">
        <v>100000</v>
      </c>
      <c r="P12" s="119" t="n">
        <v>100000</v>
      </c>
      <c r="Q12" s="119" t="n">
        <v>100000</v>
      </c>
      <c r="R12" s="4" t="n"/>
      <c r="S12" s="4" t="n"/>
      <c r="T12" s="4" t="n"/>
      <c r="U12" s="4" t="n"/>
      <c r="V12" s="4" t="n"/>
      <c r="W12" s="119" t="n">
        <v>100000</v>
      </c>
      <c r="X12" s="4" t="n"/>
      <c r="Y12" s="118">
        <f>SUM(B12:X12)</f>
        <v/>
      </c>
    </row>
    <row r="13">
      <c r="A13" s="3" t="inlineStr">
        <is>
          <t>25년 3월</t>
        </is>
      </c>
      <c r="B13" s="119" t="n">
        <v>100000</v>
      </c>
      <c r="C13" s="119" t="n">
        <v>100000</v>
      </c>
      <c r="D13" s="119" t="n">
        <v>100000</v>
      </c>
      <c r="E13" s="119" t="n">
        <v>100000</v>
      </c>
      <c r="F13" s="119" t="n">
        <v>100000</v>
      </c>
      <c r="G13" s="119" t="n">
        <v>100000</v>
      </c>
      <c r="H13" s="119" t="n">
        <v>100000</v>
      </c>
      <c r="I13" s="119" t="n">
        <v>100000</v>
      </c>
      <c r="J13" s="119" t="n">
        <v>100000</v>
      </c>
      <c r="K13" s="119" t="n">
        <v>100000</v>
      </c>
      <c r="L13" s="119" t="n">
        <v>100000</v>
      </c>
      <c r="M13" s="119" t="n">
        <v>100000</v>
      </c>
      <c r="N13" s="119" t="n">
        <v>100000</v>
      </c>
      <c r="O13" s="119" t="n">
        <v>100000</v>
      </c>
      <c r="P13" s="119" t="n">
        <v>100000</v>
      </c>
      <c r="Q13" s="119" t="n">
        <v>100000</v>
      </c>
      <c r="R13" s="4" t="n"/>
      <c r="S13" s="4" t="n"/>
      <c r="T13" s="4" t="n"/>
      <c r="U13" s="4" t="n"/>
      <c r="V13" s="4" t="n"/>
      <c r="W13" s="119" t="n">
        <v>100000</v>
      </c>
      <c r="X13" s="4" t="n"/>
      <c r="Y13" s="118">
        <f>SUM(B13:X13)</f>
        <v/>
      </c>
    </row>
    <row r="14">
      <c r="A14" s="3" t="inlineStr">
        <is>
          <t>25년 4월</t>
        </is>
      </c>
      <c r="B14" s="119" t="n">
        <v>100000</v>
      </c>
      <c r="C14" s="119" t="n">
        <v>100000</v>
      </c>
      <c r="D14" s="119" t="n">
        <v>100000</v>
      </c>
      <c r="E14" s="119" t="n">
        <v>100000</v>
      </c>
      <c r="F14" s="119" t="n">
        <v>100000</v>
      </c>
      <c r="G14" s="119" t="n">
        <v>100000</v>
      </c>
      <c r="H14" s="119" t="n">
        <v>100000</v>
      </c>
      <c r="I14" s="119" t="n">
        <v>100000</v>
      </c>
      <c r="J14" s="119" t="n">
        <v>100000</v>
      </c>
      <c r="K14" s="119" t="n">
        <v>100000</v>
      </c>
      <c r="L14" s="119" t="n">
        <v>100000</v>
      </c>
      <c r="M14" s="119" t="n">
        <v>100000</v>
      </c>
      <c r="N14" s="119" t="n">
        <v>100000</v>
      </c>
      <c r="O14" s="119" t="n">
        <v>100000</v>
      </c>
      <c r="P14" s="119" t="n">
        <v>100000</v>
      </c>
      <c r="Q14" s="119" t="n">
        <v>100000</v>
      </c>
      <c r="R14" s="4" t="n"/>
      <c r="S14" s="4" t="n"/>
      <c r="T14" s="4" t="n"/>
      <c r="U14" s="4" t="n"/>
      <c r="V14" s="4" t="n"/>
      <c r="W14" s="119" t="n">
        <v>100000</v>
      </c>
      <c r="X14" s="4" t="n"/>
      <c r="Y14" s="118">
        <f>SUM(B14:X14)</f>
        <v/>
      </c>
    </row>
    <row r="15">
      <c r="A15" s="3" t="inlineStr">
        <is>
          <t>25년 5월</t>
        </is>
      </c>
      <c r="B15" s="119" t="n">
        <v>100000</v>
      </c>
      <c r="C15" s="119" t="n">
        <v>100000</v>
      </c>
      <c r="D15" s="119" t="n">
        <v>100000</v>
      </c>
      <c r="E15" s="119" t="n">
        <v>100000</v>
      </c>
      <c r="F15" s="119" t="n">
        <v>100000</v>
      </c>
      <c r="G15" s="119" t="n">
        <v>100000</v>
      </c>
      <c r="H15" s="119" t="n">
        <v>100000</v>
      </c>
      <c r="I15" s="119" t="n">
        <v>100000</v>
      </c>
      <c r="J15" s="119" t="n">
        <v>100000</v>
      </c>
      <c r="K15" s="119" t="n">
        <v>100000</v>
      </c>
      <c r="L15" s="119" t="n">
        <v>100000</v>
      </c>
      <c r="M15" s="119" t="n">
        <v>100000</v>
      </c>
      <c r="N15" s="119" t="n">
        <v>100000</v>
      </c>
      <c r="O15" s="119" t="n">
        <v>100000</v>
      </c>
      <c r="P15" s="119" t="n">
        <v>100000</v>
      </c>
      <c r="Q15" s="119" t="n">
        <v>100000</v>
      </c>
      <c r="R15" s="4" t="n"/>
      <c r="S15" s="4" t="n"/>
      <c r="T15" s="4" t="n"/>
      <c r="U15" s="4" t="n"/>
      <c r="V15" s="4" t="n"/>
      <c r="W15" s="119" t="n">
        <v>100000</v>
      </c>
      <c r="X15" s="4" t="n"/>
      <c r="Y15" s="118">
        <f>SUM(B15:X15)</f>
        <v/>
      </c>
    </row>
    <row r="16">
      <c r="A16" s="3" t="inlineStr">
        <is>
          <t>25년 6월</t>
        </is>
      </c>
      <c r="B16" s="119" t="n">
        <v>100000</v>
      </c>
      <c r="C16" s="119" t="n">
        <v>100000</v>
      </c>
      <c r="D16" s="119" t="n">
        <v>100000</v>
      </c>
      <c r="E16" s="119" t="n">
        <v>100000</v>
      </c>
      <c r="F16" s="119" t="n">
        <v>100000</v>
      </c>
      <c r="G16" s="119" t="n">
        <v>100000</v>
      </c>
      <c r="H16" s="119" t="n">
        <v>100000</v>
      </c>
      <c r="I16" s="119" t="n">
        <v>100000</v>
      </c>
      <c r="J16" s="119" t="n">
        <v>100000</v>
      </c>
      <c r="K16" s="119" t="n">
        <v>100000</v>
      </c>
      <c r="L16" s="119" t="n">
        <v>100000</v>
      </c>
      <c r="M16" s="119" t="n">
        <v>100000</v>
      </c>
      <c r="N16" s="119" t="n">
        <v>100000</v>
      </c>
      <c r="O16" s="119" t="n">
        <v>100000</v>
      </c>
      <c r="P16" s="119" t="n">
        <v>100000</v>
      </c>
      <c r="Q16" s="119" t="n">
        <v>100000</v>
      </c>
      <c r="R16" s="4" t="n"/>
      <c r="S16" s="4" t="n"/>
      <c r="T16" s="4" t="n"/>
      <c r="U16" s="4" t="n"/>
      <c r="V16" s="4" t="n"/>
      <c r="W16" s="119" t="n">
        <v>100000</v>
      </c>
      <c r="X16" s="4" t="n"/>
      <c r="Y16" s="118">
        <f>SUM(B16:X16)</f>
        <v/>
      </c>
    </row>
    <row r="17">
      <c r="A17" s="3" t="inlineStr">
        <is>
          <t>25년 7월</t>
        </is>
      </c>
      <c r="B17" s="119" t="n">
        <v>100000</v>
      </c>
      <c r="C17" s="119" t="n">
        <v>100000</v>
      </c>
      <c r="D17" s="119" t="n">
        <v>100000</v>
      </c>
      <c r="E17" s="119" t="n">
        <v>100000</v>
      </c>
      <c r="F17" s="119" t="n">
        <v>100000</v>
      </c>
      <c r="G17" s="119" t="n">
        <v>100000</v>
      </c>
      <c r="H17" s="119" t="n">
        <v>100000</v>
      </c>
      <c r="I17" s="119" t="n">
        <v>100000</v>
      </c>
      <c r="J17" s="119" t="n">
        <v>100000</v>
      </c>
      <c r="K17" s="119" t="n">
        <v>100000</v>
      </c>
      <c r="L17" s="119" t="n">
        <v>100000</v>
      </c>
      <c r="M17" s="119" t="n">
        <v>100000</v>
      </c>
      <c r="N17" s="119" t="n">
        <v>100000</v>
      </c>
      <c r="O17" s="119" t="n">
        <v>100000</v>
      </c>
      <c r="P17" s="119" t="n">
        <v>100000</v>
      </c>
      <c r="Q17" s="119" t="n">
        <v>100000</v>
      </c>
      <c r="R17" s="119" t="n">
        <v>100000</v>
      </c>
      <c r="S17" s="4" t="n"/>
      <c r="T17" s="4" t="n"/>
      <c r="U17" s="4" t="n"/>
      <c r="V17" s="4" t="n"/>
      <c r="W17" s="119" t="n">
        <v>100000</v>
      </c>
      <c r="X17" s="4" t="n"/>
      <c r="Y17" s="118">
        <f>SUM(B17:X17)</f>
        <v/>
      </c>
    </row>
    <row r="18" ht="16.15" customHeight="1" s="99">
      <c r="A18" s="3" t="inlineStr">
        <is>
          <t>25년 8월</t>
        </is>
      </c>
      <c r="B18" s="119" t="n">
        <v>100000</v>
      </c>
      <c r="C18" s="119" t="n">
        <v>100000</v>
      </c>
      <c r="D18" s="119" t="n">
        <v>100000</v>
      </c>
      <c r="E18" s="119" t="n">
        <v>100000</v>
      </c>
      <c r="F18" s="119" t="n">
        <v>100000</v>
      </c>
      <c r="G18" s="119" t="n">
        <v>100000</v>
      </c>
      <c r="H18" s="119" t="n">
        <v>100000</v>
      </c>
      <c r="I18" s="119" t="n">
        <v>100000</v>
      </c>
      <c r="J18" s="119" t="n">
        <v>100000</v>
      </c>
      <c r="K18" s="119" t="n">
        <v>100000</v>
      </c>
      <c r="L18" s="119" t="n">
        <v>100000</v>
      </c>
      <c r="M18" s="119" t="n">
        <v>100000</v>
      </c>
      <c r="N18" s="119" t="n">
        <v>100000</v>
      </c>
      <c r="O18" s="119" t="n">
        <v>100000</v>
      </c>
      <c r="P18" s="119" t="n">
        <v>100000</v>
      </c>
      <c r="Q18" s="119" t="n">
        <v>100000</v>
      </c>
      <c r="R18" s="119" t="n">
        <v>100000</v>
      </c>
      <c r="S18" s="4" t="n"/>
      <c r="T18" s="4" t="n"/>
      <c r="U18" s="4" t="n"/>
      <c r="V18" s="4" t="n"/>
      <c r="W18" s="119" t="n">
        <v>100000</v>
      </c>
      <c r="X18" s="4" t="n"/>
      <c r="Y18" s="118">
        <f>SUM(B18:X18)</f>
        <v/>
      </c>
    </row>
    <row r="19">
      <c r="A19" s="3" t="inlineStr">
        <is>
          <t>25년 9월</t>
        </is>
      </c>
      <c r="B19" s="119" t="n">
        <v>100000</v>
      </c>
      <c r="C19" s="119" t="n">
        <v>100000</v>
      </c>
      <c r="D19" s="119" t="n">
        <v>100000</v>
      </c>
      <c r="E19" s="119" t="n">
        <v>100000</v>
      </c>
      <c r="F19" s="119" t="n">
        <v>100000</v>
      </c>
      <c r="G19" s="119" t="n">
        <v>100000</v>
      </c>
      <c r="H19" s="119" t="n">
        <v>100000</v>
      </c>
      <c r="I19" s="119" t="n">
        <v>100000</v>
      </c>
      <c r="J19" s="119" t="n">
        <v>100000</v>
      </c>
      <c r="K19" s="119" t="n">
        <v>100000</v>
      </c>
      <c r="L19" s="119" t="n">
        <v>100000</v>
      </c>
      <c r="M19" s="119" t="n">
        <v>100000</v>
      </c>
      <c r="N19" s="119" t="n">
        <v>100000</v>
      </c>
      <c r="O19" s="119" t="n">
        <v>100000</v>
      </c>
      <c r="P19" s="119" t="n">
        <v>100000</v>
      </c>
      <c r="Q19" s="119" t="n">
        <v>100000</v>
      </c>
      <c r="R19" s="119" t="n">
        <v>100000</v>
      </c>
      <c r="S19" s="4" t="n"/>
      <c r="T19" s="4" t="n"/>
      <c r="U19" s="4" t="n"/>
      <c r="V19" s="4" t="n"/>
      <c r="W19" s="119" t="n">
        <v>100000</v>
      </c>
      <c r="X19" s="4" t="n"/>
      <c r="Y19" s="118">
        <f>SUM(B19:X19)</f>
        <v/>
      </c>
    </row>
    <row r="20">
      <c r="A20" s="3" t="inlineStr">
        <is>
          <t>25년 10월</t>
        </is>
      </c>
      <c r="B20" s="119" t="n">
        <v>100000</v>
      </c>
      <c r="C20" s="119" t="n">
        <v>100000</v>
      </c>
      <c r="D20" s="119" t="n">
        <v>100000</v>
      </c>
      <c r="E20" s="119" t="n">
        <v>100000</v>
      </c>
      <c r="F20" s="119" t="n">
        <v>100000</v>
      </c>
      <c r="G20" s="119" t="n">
        <v>100000</v>
      </c>
      <c r="H20" s="119" t="n">
        <v>100000</v>
      </c>
      <c r="I20" s="119" t="n">
        <v>100000</v>
      </c>
      <c r="J20" s="119" t="n">
        <v>100000</v>
      </c>
      <c r="K20" s="119" t="n">
        <v>100000</v>
      </c>
      <c r="L20" s="119" t="n">
        <v>100000</v>
      </c>
      <c r="M20" s="119" t="n">
        <v>100000</v>
      </c>
      <c r="N20" s="119" t="n">
        <v>100000</v>
      </c>
      <c r="O20" s="119" t="n">
        <v>100000</v>
      </c>
      <c r="P20" s="119" t="n">
        <v>100000</v>
      </c>
      <c r="Q20" s="119" t="n">
        <v>100000</v>
      </c>
      <c r="R20" s="119" t="n">
        <v>100000</v>
      </c>
      <c r="S20" s="4" t="n"/>
      <c r="T20" s="4" t="n"/>
      <c r="U20" s="4" t="n"/>
      <c r="V20" s="4" t="n"/>
      <c r="W20" s="119" t="n">
        <v>100000</v>
      </c>
      <c r="X20" s="4" t="n"/>
      <c r="Y20" s="118">
        <f>SUM(B20:X20)</f>
        <v/>
      </c>
    </row>
    <row r="21">
      <c r="A21" s="3" t="inlineStr">
        <is>
          <t>25년 11월</t>
        </is>
      </c>
      <c r="B21" s="119" t="n">
        <v>100000</v>
      </c>
      <c r="C21" s="119" t="n">
        <v>100000</v>
      </c>
      <c r="D21" s="119" t="n">
        <v>100000</v>
      </c>
      <c r="E21" s="119" t="n">
        <v>100000</v>
      </c>
      <c r="F21" s="119" t="n">
        <v>100000</v>
      </c>
      <c r="G21" s="119" t="n">
        <v>100000</v>
      </c>
      <c r="H21" s="119" t="n">
        <v>100000</v>
      </c>
      <c r="I21" s="119" t="n">
        <v>100000</v>
      </c>
      <c r="J21" s="119" t="n">
        <v>100000</v>
      </c>
      <c r="K21" s="119" t="n">
        <v>100000</v>
      </c>
      <c r="L21" s="119" t="n">
        <v>100000</v>
      </c>
      <c r="M21" s="119" t="n">
        <v>100000</v>
      </c>
      <c r="N21" s="119" t="n">
        <v>100000</v>
      </c>
      <c r="O21" s="119" t="n">
        <v>100000</v>
      </c>
      <c r="P21" s="119" t="n">
        <v>100000</v>
      </c>
      <c r="Q21" s="119" t="n">
        <v>100000</v>
      </c>
      <c r="R21" s="119" t="n">
        <v>100000</v>
      </c>
      <c r="S21" s="4" t="n"/>
      <c r="T21" s="4" t="n"/>
      <c r="U21" s="4" t="n"/>
      <c r="V21" s="4" t="n"/>
      <c r="W21" s="119" t="n">
        <v>100000</v>
      </c>
      <c r="X21" s="4" t="n"/>
      <c r="Y21" s="118">
        <f>SUM(B21:X21)</f>
        <v/>
      </c>
    </row>
    <row r="22" ht="15.75" customHeight="1" s="99">
      <c r="A22" s="3" t="inlineStr">
        <is>
          <t>25년 12월</t>
        </is>
      </c>
      <c r="B22" s="119" t="n">
        <v>100000</v>
      </c>
      <c r="C22" s="119" t="n">
        <v>100000</v>
      </c>
      <c r="D22" s="119" t="n">
        <v>100000</v>
      </c>
      <c r="E22" s="119" t="n">
        <v>100000</v>
      </c>
      <c r="F22" s="119" t="n">
        <v>100000</v>
      </c>
      <c r="G22" s="119" t="n">
        <v>100000</v>
      </c>
      <c r="H22" s="119" t="n">
        <v>100000</v>
      </c>
      <c r="I22" s="119" t="n">
        <v>100000</v>
      </c>
      <c r="J22" s="119" t="n">
        <v>100000</v>
      </c>
      <c r="K22" s="119" t="n">
        <v>100000</v>
      </c>
      <c r="L22" s="119" t="n">
        <v>100000</v>
      </c>
      <c r="M22" s="119" t="n">
        <v>100000</v>
      </c>
      <c r="N22" s="119" t="n">
        <v>100000</v>
      </c>
      <c r="O22" s="119" t="n">
        <v>100000</v>
      </c>
      <c r="P22" s="119" t="n">
        <v>100000</v>
      </c>
      <c r="Q22" s="119" t="n">
        <v>100000</v>
      </c>
      <c r="R22" s="119" t="n">
        <v>100000</v>
      </c>
      <c r="S22" s="119" t="n">
        <v>100000</v>
      </c>
      <c r="T22" s="4" t="n"/>
      <c r="U22" s="4" t="n"/>
      <c r="V22" s="4" t="n"/>
      <c r="W22" s="119" t="n">
        <v>100000</v>
      </c>
      <c r="X22" s="4" t="n"/>
      <c r="Y22" s="118">
        <f>SUM(B22:X22)</f>
        <v/>
      </c>
    </row>
    <row r="23" ht="15.75" customHeight="1" s="99">
      <c r="A23" s="3" t="inlineStr">
        <is>
          <t>26년 1월</t>
        </is>
      </c>
      <c r="B23" s="119" t="n">
        <v>100000</v>
      </c>
      <c r="C23" s="119" t="n">
        <v>100000</v>
      </c>
      <c r="D23" s="119" t="n">
        <v>100000</v>
      </c>
      <c r="E23" s="119" t="n">
        <v>100000</v>
      </c>
      <c r="F23" s="119" t="n">
        <v>100000</v>
      </c>
      <c r="G23" s="119" t="n">
        <v>100000</v>
      </c>
      <c r="H23" s="119" t="n">
        <v>100000</v>
      </c>
      <c r="I23" s="119" t="n">
        <v>100000</v>
      </c>
      <c r="J23" s="119" t="n">
        <v>100000</v>
      </c>
      <c r="K23" s="119" t="n">
        <v>100000</v>
      </c>
      <c r="L23" s="119" t="n">
        <v>100000</v>
      </c>
      <c r="M23" s="119" t="n">
        <v>100000</v>
      </c>
      <c r="N23" s="119" t="n">
        <v>100000</v>
      </c>
      <c r="O23" s="119" t="n">
        <v>100000</v>
      </c>
      <c r="P23" s="119" t="n">
        <v>100000</v>
      </c>
      <c r="Q23" s="119" t="n">
        <v>100000</v>
      </c>
      <c r="R23" s="119" t="n">
        <v>100000</v>
      </c>
      <c r="S23" s="119" t="n">
        <v>100000</v>
      </c>
      <c r="T23" s="4" t="n"/>
      <c r="U23" s="4" t="n"/>
      <c r="V23" s="4" t="n"/>
      <c r="W23" s="4" t="n"/>
      <c r="X23" s="4" t="n"/>
      <c r="Y23" s="118">
        <f>SUM(B23:X23)</f>
        <v/>
      </c>
    </row>
    <row r="24" ht="15.75" customHeight="1" s="99">
      <c r="A24" s="3" t="inlineStr">
        <is>
          <t>26년 2월</t>
        </is>
      </c>
      <c r="B24" s="119" t="n">
        <v>100000</v>
      </c>
      <c r="C24" s="119" t="n">
        <v>100000</v>
      </c>
      <c r="D24" s="119" t="n">
        <v>100000</v>
      </c>
      <c r="E24" s="119" t="n">
        <v>100000</v>
      </c>
      <c r="F24" s="119" t="n">
        <v>100000</v>
      </c>
      <c r="G24" s="119" t="n">
        <v>100000</v>
      </c>
      <c r="H24" s="119" t="n">
        <v>100000</v>
      </c>
      <c r="I24" s="119" t="n">
        <v>100000</v>
      </c>
      <c r="J24" s="119" t="n">
        <v>100000</v>
      </c>
      <c r="K24" s="119" t="n">
        <v>100000</v>
      </c>
      <c r="L24" s="119" t="n">
        <v>100000</v>
      </c>
      <c r="M24" s="119" t="n">
        <v>100000</v>
      </c>
      <c r="N24" s="119" t="n">
        <v>100000</v>
      </c>
      <c r="O24" s="119" t="n">
        <v>100000</v>
      </c>
      <c r="P24" s="119" t="n">
        <v>100000</v>
      </c>
      <c r="Q24" s="119" t="n">
        <v>100000</v>
      </c>
      <c r="R24" s="119" t="n">
        <v>100000</v>
      </c>
      <c r="S24" s="119" t="n">
        <v>100000</v>
      </c>
      <c r="T24" s="119" t="n">
        <v>100000</v>
      </c>
      <c r="U24" s="4" t="n"/>
      <c r="V24" s="4" t="n"/>
      <c r="W24" s="4" t="n"/>
      <c r="X24" s="4" t="n"/>
      <c r="Y24" s="118">
        <f>SUM(B24:X24)</f>
        <v/>
      </c>
    </row>
    <row r="25" ht="15.75" customHeight="1" s="99">
      <c r="A25" s="3" t="inlineStr">
        <is>
          <t>26년 3월</t>
        </is>
      </c>
      <c r="B25" s="119" t="n">
        <v>100000</v>
      </c>
      <c r="C25" s="119" t="n">
        <v>100000</v>
      </c>
      <c r="D25" s="119" t="n">
        <v>100000</v>
      </c>
      <c r="E25" s="119" t="n">
        <v>100000</v>
      </c>
      <c r="F25" s="119" t="n">
        <v>100000</v>
      </c>
      <c r="G25" s="119" t="n">
        <v>100000</v>
      </c>
      <c r="H25" s="119" t="n">
        <v>100000</v>
      </c>
      <c r="I25" s="119" t="n">
        <v>100000</v>
      </c>
      <c r="J25" s="119" t="n">
        <v>100000</v>
      </c>
      <c r="K25" s="119" t="n">
        <v>100000</v>
      </c>
      <c r="L25" s="119" t="n">
        <v>100000</v>
      </c>
      <c r="M25" s="119" t="n">
        <v>100000</v>
      </c>
      <c r="N25" s="119" t="n">
        <v>100000</v>
      </c>
      <c r="O25" s="119" t="n">
        <v>100000</v>
      </c>
      <c r="P25" s="119" t="n">
        <v>100000</v>
      </c>
      <c r="Q25" s="119" t="n">
        <v>100000</v>
      </c>
      <c r="R25" s="119" t="n">
        <v>100000</v>
      </c>
      <c r="S25" s="119" t="n">
        <v>100000</v>
      </c>
      <c r="T25" s="119" t="n">
        <v>100000</v>
      </c>
      <c r="U25" s="4" t="n"/>
      <c r="V25" s="4" t="n"/>
      <c r="W25" s="4" t="n"/>
      <c r="X25" s="4" t="n"/>
      <c r="Y25" s="118">
        <f>SUM(B25:X25)</f>
        <v/>
      </c>
    </row>
    <row r="26" ht="15.75" customHeight="1" s="99">
      <c r="A26" s="3" t="inlineStr">
        <is>
          <t>26년 4월</t>
        </is>
      </c>
      <c r="B26" s="119" t="n">
        <v>100000</v>
      </c>
      <c r="C26" s="119" t="n">
        <v>100000</v>
      </c>
      <c r="D26" s="119" t="n">
        <v>100000</v>
      </c>
      <c r="E26" s="119" t="n">
        <v>100000</v>
      </c>
      <c r="F26" s="100" t="n">
        <v>100000</v>
      </c>
      <c r="G26" s="119" t="n">
        <v>100000</v>
      </c>
      <c r="H26" s="119" t="n">
        <v>100000</v>
      </c>
      <c r="I26" s="100" t="n">
        <v>100000</v>
      </c>
      <c r="J26" s="119" t="n">
        <v>100000</v>
      </c>
      <c r="K26" s="119" t="n">
        <v>100000</v>
      </c>
      <c r="L26" s="119" t="n">
        <v>100000</v>
      </c>
      <c r="M26" s="119" t="n">
        <v>100000</v>
      </c>
      <c r="N26" s="119" t="n">
        <v>100000</v>
      </c>
      <c r="O26" s="119" t="n">
        <v>100000</v>
      </c>
      <c r="P26" s="119" t="n">
        <v>100000</v>
      </c>
      <c r="Q26" s="119" t="n">
        <v>100000</v>
      </c>
      <c r="R26" s="100" t="n">
        <v>100000</v>
      </c>
      <c r="S26" s="119" t="n">
        <v>100000</v>
      </c>
      <c r="T26" s="119" t="n">
        <v>100000</v>
      </c>
      <c r="U26" s="119" t="n">
        <v>100000</v>
      </c>
      <c r="V26" s="119" t="n">
        <v>100000</v>
      </c>
      <c r="W26" s="4" t="n"/>
      <c r="X26" s="4" t="n"/>
      <c r="Y26" s="118">
        <f>SUM(B26:X26)</f>
        <v/>
      </c>
    </row>
    <row r="27" ht="15.75" customHeight="1" s="99">
      <c r="A27" s="3" t="inlineStr">
        <is>
          <t>26년 5월</t>
        </is>
      </c>
      <c r="B27" s="119" t="n">
        <v>100000</v>
      </c>
      <c r="C27" s="119" t="n">
        <v>100000</v>
      </c>
      <c r="D27" s="119" t="n">
        <v>100000</v>
      </c>
      <c r="E27" s="119" t="n">
        <v>100000</v>
      </c>
      <c r="F27" s="119" t="n">
        <v>100000</v>
      </c>
      <c r="G27" s="119" t="n">
        <v>100000</v>
      </c>
      <c r="H27" s="119" t="n">
        <v>100000</v>
      </c>
      <c r="I27" s="119" t="n">
        <v>100000</v>
      </c>
      <c r="J27" s="119" t="n">
        <v>100000</v>
      </c>
      <c r="K27" s="119" t="n">
        <v>100000</v>
      </c>
      <c r="L27" s="119" t="n">
        <v>100000</v>
      </c>
      <c r="M27" s="119" t="n">
        <v>100000</v>
      </c>
      <c r="N27" s="119" t="n">
        <v>100000</v>
      </c>
      <c r="O27" s="119" t="n">
        <v>100000</v>
      </c>
      <c r="P27" s="119" t="n">
        <v>100000</v>
      </c>
      <c r="Q27" s="119" t="n">
        <v>100000</v>
      </c>
      <c r="R27" s="100" t="n">
        <v>100000</v>
      </c>
      <c r="S27" s="119" t="n">
        <v>100000</v>
      </c>
      <c r="T27" s="119" t="n">
        <v>100000</v>
      </c>
      <c r="U27" s="119" t="n">
        <v>100000</v>
      </c>
      <c r="V27" s="119" t="n">
        <v>100000</v>
      </c>
      <c r="W27" s="4" t="n"/>
      <c r="X27" s="4" t="n"/>
      <c r="Y27" s="118">
        <f>SUM(B27:X27)</f>
        <v/>
      </c>
    </row>
    <row r="28" ht="15.75" customHeight="1" s="99">
      <c r="A28" s="3" t="inlineStr">
        <is>
          <t>26년 6월</t>
        </is>
      </c>
      <c r="B28" s="119" t="n">
        <v>100000</v>
      </c>
      <c r="C28" s="119" t="n">
        <v>100000</v>
      </c>
      <c r="D28" s="119" t="n">
        <v>100000</v>
      </c>
      <c r="E28" s="119" t="n">
        <v>100000</v>
      </c>
      <c r="F28" s="119" t="n">
        <v>100000</v>
      </c>
      <c r="G28" s="119" t="n">
        <v>100000</v>
      </c>
      <c r="H28" s="119" t="n">
        <v>100000</v>
      </c>
      <c r="I28" s="119" t="n">
        <v>100000</v>
      </c>
      <c r="J28" s="119" t="n">
        <v>100000</v>
      </c>
      <c r="K28" s="119" t="n">
        <v>100000</v>
      </c>
      <c r="L28" s="119" t="n">
        <v>100000</v>
      </c>
      <c r="M28" s="119" t="n">
        <v>100000</v>
      </c>
      <c r="N28" s="119" t="n">
        <v>100000</v>
      </c>
      <c r="O28" s="119" t="n">
        <v>100000</v>
      </c>
      <c r="P28" s="119" t="n">
        <v>100000</v>
      </c>
      <c r="Q28" s="119" t="n">
        <v>100000</v>
      </c>
      <c r="R28" s="119" t="n">
        <v>100000</v>
      </c>
      <c r="S28" s="119" t="n">
        <v>100000</v>
      </c>
      <c r="T28" s="119" t="n">
        <v>100000</v>
      </c>
      <c r="U28" s="119" t="n">
        <v>100000</v>
      </c>
      <c r="V28" s="119" t="n">
        <v>100000</v>
      </c>
      <c r="W28" s="4" t="n"/>
      <c r="X28" s="4" t="n"/>
      <c r="Y28" s="118">
        <f>SUM(B28:X28)</f>
        <v/>
      </c>
    </row>
    <row r="29" ht="15.75" customHeight="1" s="99">
      <c r="A29" s="3" t="inlineStr">
        <is>
          <t>26년 7월</t>
        </is>
      </c>
      <c r="B29" s="26" t="n">
        <v>100000</v>
      </c>
      <c r="C29" s="26" t="n"/>
      <c r="D29" s="26" t="n"/>
      <c r="E29" s="26" t="n"/>
      <c r="F29" s="26" t="n">
        <v>100000</v>
      </c>
      <c r="G29" s="26" t="n">
        <v>100000</v>
      </c>
      <c r="H29" s="26" t="n">
        <v>100000</v>
      </c>
      <c r="I29" s="26" t="n">
        <v>100000</v>
      </c>
      <c r="J29" s="26" t="n">
        <v>100000</v>
      </c>
      <c r="K29" s="119" t="n">
        <v>100000</v>
      </c>
      <c r="L29" s="26" t="n">
        <v>100000</v>
      </c>
      <c r="M29" s="119" t="n">
        <v>100000</v>
      </c>
      <c r="N29" s="26" t="n"/>
      <c r="O29" s="26" t="n">
        <v>100000</v>
      </c>
      <c r="P29" s="26" t="n">
        <v>100000</v>
      </c>
      <c r="Q29" s="26" t="n">
        <v>100000</v>
      </c>
      <c r="R29" s="26" t="n">
        <v>100000</v>
      </c>
      <c r="S29" s="26" t="n">
        <v>100000</v>
      </c>
      <c r="T29" s="26" t="n">
        <v>100000</v>
      </c>
      <c r="U29" s="26" t="n"/>
      <c r="V29" s="26" t="n">
        <v>100000</v>
      </c>
      <c r="W29" s="4" t="n"/>
      <c r="X29" s="4" t="n"/>
      <c r="Y29" s="118">
        <f>SUM(B29:X29)</f>
        <v/>
      </c>
    </row>
    <row r="30" ht="15.75" customHeight="1" s="99">
      <c r="A30" s="3" t="inlineStr">
        <is>
          <t>26년 8월</t>
        </is>
      </c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4" t="n"/>
      <c r="X30" s="4" t="n"/>
      <c r="Y30" s="118">
        <f>SUM(B30:X30)</f>
        <v/>
      </c>
    </row>
    <row r="31" ht="15.75" customHeight="1" s="99">
      <c r="A31" s="3" t="inlineStr">
        <is>
          <t>26년 9월</t>
        </is>
      </c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4" t="n"/>
      <c r="X31" s="4" t="n"/>
      <c r="Y31" s="118">
        <f>SUM(B31:X31)</f>
        <v/>
      </c>
    </row>
    <row r="32" ht="15.75" customHeight="1" s="99">
      <c r="A32" s="3" t="inlineStr">
        <is>
          <t>26년 10월</t>
        </is>
      </c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4" t="n"/>
      <c r="X32" s="4" t="n"/>
      <c r="Y32" s="118">
        <f>SUM(B32:X32)</f>
        <v/>
      </c>
    </row>
    <row r="33" ht="15.75" customHeight="1" s="99">
      <c r="A33" s="3" t="inlineStr">
        <is>
          <t>26년 11월</t>
        </is>
      </c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4" t="n"/>
      <c r="X33" s="4" t="n"/>
      <c r="Y33" s="118">
        <f>SUM(B33:X33)</f>
        <v/>
      </c>
    </row>
    <row r="34" ht="15.75" customHeight="1" s="99">
      <c r="A34" s="3" t="inlineStr">
        <is>
          <t>26년 12월</t>
        </is>
      </c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4" t="n"/>
      <c r="X34" s="4" t="n"/>
      <c r="Y34" s="118">
        <f>SUM(B34:X34)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7"/>
  <sheetViews>
    <sheetView zoomScale="115" zoomScaleNormal="115" workbookViewId="0">
      <pane xSplit="2" ySplit="2" topLeftCell="C78" activePane="bottomRight" state="frozen"/>
      <selection pane="topRight" activeCell="C1" sqref="C1"/>
      <selection pane="bottomLeft" activeCell="A3" sqref="A3"/>
      <selection pane="bottomRight" activeCell="G103" sqref="G103"/>
    </sheetView>
  </sheetViews>
  <sheetFormatPr baseColWidth="8" defaultRowHeight="16.5"/>
  <cols>
    <col width="13.25" customWidth="1" style="99" min="1" max="1"/>
    <col width="8.75" customWidth="1" style="99" min="2" max="2"/>
    <col width="13.25" customWidth="1" style="99" min="3" max="8"/>
    <col width="25.875" customWidth="1" style="99" min="9" max="9"/>
    <col width="9.375" bestFit="1" customWidth="1" style="99" min="10" max="10"/>
    <col width="11" customWidth="1" style="99" min="11" max="11"/>
  </cols>
  <sheetData>
    <row r="1" ht="17.25" customHeight="1" s="99" thickBot="1">
      <c r="A1" s="8" t="inlineStr">
        <is>
          <t>연월</t>
        </is>
      </c>
      <c r="B1" s="8" t="inlineStr">
        <is>
          <t>요일</t>
        </is>
      </c>
      <c r="C1" s="11" t="inlineStr">
        <is>
          <t>일자</t>
        </is>
      </c>
      <c r="D1" s="11" t="inlineStr">
        <is>
          <t>분류1</t>
        </is>
      </c>
      <c r="E1" s="11" t="inlineStr">
        <is>
          <t>분류2</t>
        </is>
      </c>
      <c r="F1" s="11" t="inlineStr">
        <is>
          <t>차변</t>
        </is>
      </c>
      <c r="G1" s="11" t="inlineStr">
        <is>
          <t>대변</t>
        </is>
      </c>
      <c r="H1" s="8" t="inlineStr">
        <is>
          <t>대변-차변</t>
        </is>
      </c>
      <c r="I1" s="11" t="inlineStr">
        <is>
          <t>비고</t>
        </is>
      </c>
    </row>
    <row r="2" ht="17.25" customHeight="1" s="99" thickTop="1">
      <c r="A2" s="9" t="inlineStr">
        <is>
          <t>수식</t>
        </is>
      </c>
      <c r="B2" s="9" t="inlineStr">
        <is>
          <t>수식</t>
        </is>
      </c>
      <c r="C2" s="12" t="inlineStr">
        <is>
          <t>입력</t>
        </is>
      </c>
      <c r="D2" s="12" t="inlineStr">
        <is>
          <t>입력</t>
        </is>
      </c>
      <c r="E2" s="12" t="inlineStr">
        <is>
          <t>입력</t>
        </is>
      </c>
      <c r="F2" s="12" t="inlineStr">
        <is>
          <t>입력</t>
        </is>
      </c>
      <c r="G2" s="12" t="inlineStr">
        <is>
          <t>입력</t>
        </is>
      </c>
      <c r="H2" s="9" t="inlineStr">
        <is>
          <t>수식</t>
        </is>
      </c>
      <c r="I2" s="12" t="inlineStr">
        <is>
          <t>입력</t>
        </is>
      </c>
    </row>
    <row r="3">
      <c r="A3" s="10">
        <f>RIGHT(YEAR(C3),2)&amp;"년 "&amp;MONTH(C3)&amp;"월"</f>
        <v/>
      </c>
      <c r="B3" s="10">
        <f>VLOOKUP(WEEKDAY(C3,2),참조!$A$1:$B$10,2,)</f>
        <v/>
      </c>
      <c r="C3" s="14" t="n">
        <v>45444</v>
      </c>
      <c r="D3" s="14" t="inlineStr">
        <is>
          <t>입금</t>
        </is>
      </c>
      <c r="E3" s="14" t="inlineStr">
        <is>
          <t>회비</t>
        </is>
      </c>
      <c r="F3" s="120" t="n"/>
      <c r="G3" s="120">
        <f>SUMIFS(입금현황!$Y:$Y,입금현황!$A:$A,원장!$A3)</f>
        <v/>
      </c>
      <c r="H3" s="121">
        <f>G3-F3</f>
        <v/>
      </c>
      <c r="I3" s="16" t="inlineStr">
        <is>
          <t>월간회비납부</t>
        </is>
      </c>
    </row>
    <row r="4">
      <c r="A4" s="10">
        <f>RIGHT(YEAR(C4),2)&amp;"년 "&amp;MONTH(C4)&amp;"월"</f>
        <v/>
      </c>
      <c r="B4" s="10">
        <f>VLOOKUP(WEEKDAY(C4,2),참조!$A$1:$B$10,2,)</f>
        <v/>
      </c>
      <c r="C4" s="14" t="n">
        <v>45472</v>
      </c>
      <c r="D4" s="14" t="inlineStr">
        <is>
          <t>출금</t>
        </is>
      </c>
      <c r="E4" s="14" t="inlineStr">
        <is>
          <t>모임비</t>
        </is>
      </c>
      <c r="F4" s="120">
        <f>417000+260400</f>
        <v/>
      </c>
      <c r="G4" s="120" t="n"/>
      <c r="H4" s="121">
        <f>G4-F4</f>
        <v/>
      </c>
      <c r="I4" s="16" t="inlineStr">
        <is>
          <t>김진호, 모드라운지 언주역점</t>
        </is>
      </c>
    </row>
    <row r="5">
      <c r="A5" s="10">
        <f>RIGHT(YEAR(C5),2)&amp;"년 "&amp;MONTH(C5)&amp;"월"</f>
        <v/>
      </c>
      <c r="B5" s="10">
        <f>VLOOKUP(WEEKDAY(C5,2),참조!$A$1:$B$10,2,)</f>
        <v/>
      </c>
      <c r="C5" s="14" t="n">
        <v>45474</v>
      </c>
      <c r="D5" s="14" t="inlineStr">
        <is>
          <t>입금</t>
        </is>
      </c>
      <c r="E5" s="14" t="inlineStr">
        <is>
          <t>회비</t>
        </is>
      </c>
      <c r="F5" s="120" t="n"/>
      <c r="G5" s="120">
        <f>SUMIFS(입금현황!$Y:$Y,입금현황!$A:$A,원장!$A5)</f>
        <v/>
      </c>
      <c r="H5" s="121">
        <f>G5-F5</f>
        <v/>
      </c>
      <c r="I5" s="16" t="inlineStr">
        <is>
          <t>월간회비납부</t>
        </is>
      </c>
    </row>
    <row r="6">
      <c r="A6" s="10">
        <f>RIGHT(YEAR(C6),2)&amp;"년 "&amp;MONTH(C6)&amp;"월"</f>
        <v/>
      </c>
      <c r="B6" s="10">
        <f>VLOOKUP(WEEKDAY(C6,2),참조!$A$1:$B$10,2,)</f>
        <v/>
      </c>
      <c r="C6" s="14" t="n">
        <v>45500</v>
      </c>
      <c r="D6" s="14" t="inlineStr">
        <is>
          <t>출금</t>
        </is>
      </c>
      <c r="E6" s="14" t="inlineStr">
        <is>
          <t>모임비</t>
        </is>
      </c>
      <c r="F6" s="120" t="n">
        <v>547800</v>
      </c>
      <c r="G6" s="120" t="n"/>
      <c r="H6" s="121">
        <f>G6-F6</f>
        <v/>
      </c>
      <c r="I6" s="16" t="inlineStr">
        <is>
          <t>옥지엽, 더브루클린로프트</t>
        </is>
      </c>
    </row>
    <row r="7">
      <c r="A7" s="10">
        <f>RIGHT(YEAR(C7),2)&amp;"년 "&amp;MONTH(C7)&amp;"월"</f>
        <v/>
      </c>
      <c r="B7" s="10">
        <f>VLOOKUP(WEEKDAY(C7,2),참조!$A$1:$B$10,2,)</f>
        <v/>
      </c>
      <c r="C7" s="14" t="n">
        <v>45505</v>
      </c>
      <c r="D7" s="14" t="inlineStr">
        <is>
          <t>입금</t>
        </is>
      </c>
      <c r="E7" s="14" t="inlineStr">
        <is>
          <t>회비</t>
        </is>
      </c>
      <c r="F7" s="120" t="n"/>
      <c r="G7" s="120">
        <f>SUMIFS(입금현황!$Y:$Y,입금현황!$A:$A,원장!$A7)</f>
        <v/>
      </c>
      <c r="H7" s="121">
        <f>G7-F7</f>
        <v/>
      </c>
      <c r="I7" s="16" t="inlineStr">
        <is>
          <t>월간회비납부</t>
        </is>
      </c>
    </row>
    <row r="8">
      <c r="A8" s="10">
        <f>RIGHT(YEAR(C8),2)&amp;"년 "&amp;MONTH(C8)&amp;"월"</f>
        <v/>
      </c>
      <c r="B8" s="10">
        <f>VLOOKUP(WEEKDAY(C8,2),참조!$A$1:$B$10,2,)</f>
        <v/>
      </c>
      <c r="C8" s="14" t="n">
        <v>45535</v>
      </c>
      <c r="D8" s="14" t="inlineStr">
        <is>
          <t>출금</t>
        </is>
      </c>
      <c r="E8" s="14" t="inlineStr">
        <is>
          <t>모임비</t>
        </is>
      </c>
      <c r="F8" s="120">
        <f>311200+100000</f>
        <v/>
      </c>
      <c r="G8" s="120" t="n"/>
      <c r="H8" s="121">
        <f>G8-F8</f>
        <v/>
      </c>
      <c r="I8" s="16" t="inlineStr">
        <is>
          <t>박상용, 골프파티룸 지그로테</t>
        </is>
      </c>
    </row>
    <row r="9">
      <c r="A9" s="10">
        <f>RIGHT(YEAR(C9),2)&amp;"년 "&amp;MONTH(C9)&amp;"월"</f>
        <v/>
      </c>
      <c r="B9" s="10">
        <f>VLOOKUP(WEEKDAY(C9,2),참조!$A$1:$B$10,2,)</f>
        <v/>
      </c>
      <c r="C9" s="14" t="n">
        <v>45536</v>
      </c>
      <c r="D9" s="14" t="inlineStr">
        <is>
          <t>입금</t>
        </is>
      </c>
      <c r="E9" s="14" t="inlineStr">
        <is>
          <t>회비</t>
        </is>
      </c>
      <c r="F9" s="120" t="n"/>
      <c r="G9" s="120">
        <f>SUMIFS(입금현황!$Y:$Y,입금현황!$A:$A,원장!$A9)</f>
        <v/>
      </c>
      <c r="H9" s="121">
        <f>G9-F9</f>
        <v/>
      </c>
      <c r="I9" s="16" t="inlineStr">
        <is>
          <t>월간회비납부</t>
        </is>
      </c>
    </row>
    <row r="10">
      <c r="A10" s="10">
        <f>RIGHT(YEAR(C10),2)&amp;"년 "&amp;MONTH(C10)&amp;"월"</f>
        <v/>
      </c>
      <c r="B10" s="10">
        <f>VLOOKUP(WEEKDAY(C10,2),참조!$A$1:$B$10,2,)</f>
        <v/>
      </c>
      <c r="C10" s="14" t="n">
        <v>45563</v>
      </c>
      <c r="D10" s="14" t="inlineStr">
        <is>
          <t>출금</t>
        </is>
      </c>
      <c r="E10" s="14" t="inlineStr">
        <is>
          <t>모임비</t>
        </is>
      </c>
      <c r="F10" s="120">
        <f>1662200+391600</f>
        <v/>
      </c>
      <c r="G10" s="120" t="n"/>
      <c r="H10" s="121">
        <f>G10-F10</f>
        <v/>
      </c>
      <c r="I10" s="16" t="inlineStr">
        <is>
          <t>그랜드 하얏트 서울 풀사이드 바비큐</t>
        </is>
      </c>
    </row>
    <row r="11">
      <c r="A11" s="10">
        <f>RIGHT(YEAR(C11),2)&amp;"년 "&amp;MONTH(C11)&amp;"월"</f>
        <v/>
      </c>
      <c r="B11" s="10">
        <f>VLOOKUP(WEEKDAY(C11,2),참조!$A$1:$B$10,2,)</f>
        <v/>
      </c>
      <c r="C11" s="14" t="n">
        <v>45566</v>
      </c>
      <c r="D11" s="14" t="inlineStr">
        <is>
          <t>입금</t>
        </is>
      </c>
      <c r="E11" s="14" t="inlineStr">
        <is>
          <t>회비</t>
        </is>
      </c>
      <c r="F11" s="120" t="n"/>
      <c r="G11" s="120">
        <f>SUMIFS(입금현황!$Y:$Y,입금현황!$A:$A,원장!$A11)</f>
        <v/>
      </c>
      <c r="H11" s="121">
        <f>G11-F11</f>
        <v/>
      </c>
      <c r="I11" s="16" t="inlineStr">
        <is>
          <t>월간회비납부</t>
        </is>
      </c>
    </row>
    <row r="12">
      <c r="A12" s="10">
        <f>RIGHT(YEAR(C12),2)&amp;"년 "&amp;MONTH(C12)&amp;"월"</f>
        <v/>
      </c>
      <c r="B12" s="10">
        <f>VLOOKUP(WEEKDAY(C12,2),참조!$A$1:$B$10,2,)</f>
        <v/>
      </c>
      <c r="C12" s="14" t="n">
        <v>45570</v>
      </c>
      <c r="D12" s="14" t="inlineStr">
        <is>
          <t>출금</t>
        </is>
      </c>
      <c r="E12" s="14" t="inlineStr">
        <is>
          <t>경조사비</t>
        </is>
      </c>
      <c r="F12" s="120" t="n">
        <v>1000000</v>
      </c>
      <c r="G12" s="120" t="n"/>
      <c r="H12" s="121">
        <f>G12-F12</f>
        <v/>
      </c>
      <c r="I12" s="16" t="inlineStr">
        <is>
          <t>옥지엽, 축의금</t>
        </is>
      </c>
    </row>
    <row r="13">
      <c r="A13" s="10">
        <f>RIGHT(YEAR(C13),2)&amp;"년 "&amp;MONTH(C13)&amp;"월"</f>
        <v/>
      </c>
      <c r="B13" s="10">
        <f>VLOOKUP(WEEKDAY(C13,2),참조!$A$1:$B$10,2,)</f>
        <v/>
      </c>
      <c r="C13" s="14" t="n">
        <v>45591</v>
      </c>
      <c r="D13" s="14" t="inlineStr">
        <is>
          <t>출금</t>
        </is>
      </c>
      <c r="E13" s="14" t="inlineStr">
        <is>
          <t>모임비</t>
        </is>
      </c>
      <c r="F13" s="120" t="n">
        <v>573000</v>
      </c>
      <c r="G13" s="120" t="n"/>
      <c r="H13" s="121">
        <f>G13-F13</f>
        <v/>
      </c>
      <c r="I13" s="16" t="inlineStr">
        <is>
          <t>박승현, 포레스트 청담</t>
        </is>
      </c>
    </row>
    <row r="14">
      <c r="A14" s="10">
        <f>RIGHT(YEAR(C14),2)&amp;"년 "&amp;MONTH(C14)&amp;"월"</f>
        <v/>
      </c>
      <c r="B14" s="10">
        <f>VLOOKUP(WEEKDAY(C14,2),참조!$A$1:$B$10,2,)</f>
        <v/>
      </c>
      <c r="C14" s="14" t="n">
        <v>45597</v>
      </c>
      <c r="D14" s="14" t="inlineStr">
        <is>
          <t>입금</t>
        </is>
      </c>
      <c r="E14" s="14" t="inlineStr">
        <is>
          <t>회비</t>
        </is>
      </c>
      <c r="F14" s="120" t="n"/>
      <c r="G14" s="120">
        <f>SUMIFS(입금현황!$Y:$Y,입금현황!$A:$A,원장!$A14)</f>
        <v/>
      </c>
      <c r="H14" s="121">
        <f>G14-F14</f>
        <v/>
      </c>
      <c r="I14" s="16" t="inlineStr">
        <is>
          <t>월간회비납부</t>
        </is>
      </c>
    </row>
    <row r="15">
      <c r="A15" s="10">
        <f>RIGHT(YEAR(C15),2)&amp;"년 "&amp;MONTH(C15)&amp;"월"</f>
        <v/>
      </c>
      <c r="B15" s="10">
        <f>VLOOKUP(WEEKDAY(C15,2),참조!$A$1:$B$10,2,)</f>
        <v/>
      </c>
      <c r="C15" s="14" t="n">
        <v>45611</v>
      </c>
      <c r="D15" s="14" t="inlineStr">
        <is>
          <t>출금</t>
        </is>
      </c>
      <c r="E15" s="14" t="inlineStr">
        <is>
          <t>경조사비</t>
        </is>
      </c>
      <c r="F15" s="120" t="n">
        <v>92100</v>
      </c>
      <c r="G15" s="120" t="n"/>
      <c r="H15" s="121">
        <f>G15-F15</f>
        <v/>
      </c>
      <c r="I15" s="16" t="inlineStr">
        <is>
          <t>송미숙, 성환이 화환</t>
        </is>
      </c>
    </row>
    <row r="16">
      <c r="A16" s="10">
        <f>RIGHT(YEAR(C16),2)&amp;"년 "&amp;MONTH(C16)&amp;"월"</f>
        <v/>
      </c>
      <c r="B16" s="10">
        <f>VLOOKUP(WEEKDAY(C16,2),참조!$A$1:$B$10,2,)</f>
        <v/>
      </c>
      <c r="C16" s="14" t="n">
        <v>45626</v>
      </c>
      <c r="D16" s="14" t="inlineStr">
        <is>
          <t>출금</t>
        </is>
      </c>
      <c r="E16" s="14" t="inlineStr">
        <is>
          <t>모임비</t>
        </is>
      </c>
      <c r="F16" s="120">
        <f>136310+358000+71500</f>
        <v/>
      </c>
      <c r="G16" s="120" t="n"/>
      <c r="H16" s="121">
        <f>G16-F16</f>
        <v/>
      </c>
      <c r="I16" s="16" t="inlineStr">
        <is>
          <t>조현민, 언디파인 논현점</t>
        </is>
      </c>
    </row>
    <row r="17">
      <c r="A17" s="10">
        <f>RIGHT(YEAR(C17),2)&amp;"년 "&amp;MONTH(C17)&amp;"월"</f>
        <v/>
      </c>
      <c r="B17" s="10">
        <f>VLOOKUP(WEEKDAY(C17,2),참조!$A$1:$B$10,2,)</f>
        <v/>
      </c>
      <c r="C17" s="14" t="n">
        <v>45627</v>
      </c>
      <c r="D17" s="14" t="inlineStr">
        <is>
          <t>입금</t>
        </is>
      </c>
      <c r="E17" s="14" t="inlineStr">
        <is>
          <t>회비</t>
        </is>
      </c>
      <c r="F17" s="120" t="n"/>
      <c r="G17" s="120">
        <f>SUMIFS(입금현황!$Y:$Y,입금현황!$A:$A,원장!$A17)</f>
        <v/>
      </c>
      <c r="H17" s="121">
        <f>G17-F17</f>
        <v/>
      </c>
      <c r="I17" s="16" t="inlineStr">
        <is>
          <t>월간회비납부</t>
        </is>
      </c>
    </row>
    <row r="18">
      <c r="A18" s="10">
        <f>RIGHT(YEAR(C18),2)&amp;"년 "&amp;MONTH(C18)&amp;"월"</f>
        <v/>
      </c>
      <c r="B18" s="10">
        <f>VLOOKUP(WEEKDAY(C18,2),참조!$A$1:$B$10,2,)</f>
        <v/>
      </c>
      <c r="C18" s="14" t="n">
        <v>45654</v>
      </c>
      <c r="D18" s="14" t="inlineStr">
        <is>
          <t>출금</t>
        </is>
      </c>
      <c r="E18" s="14" t="inlineStr">
        <is>
          <t>모임비</t>
        </is>
      </c>
      <c r="F18" s="120" t="n">
        <v>1627000</v>
      </c>
      <c r="G18" s="120" t="n"/>
      <c r="H18" s="121">
        <f>G18-F18</f>
        <v/>
      </c>
      <c r="I18" s="16" t="inlineStr">
        <is>
          <t>조현민, 언디파인 논현점</t>
        </is>
      </c>
    </row>
    <row r="19">
      <c r="A19" s="10">
        <f>RIGHT(YEAR(C19),2)&amp;"년 "&amp;MONTH(C19)&amp;"월"</f>
        <v/>
      </c>
      <c r="B19" s="10">
        <f>VLOOKUP(WEEKDAY(C19,2),참조!$A$1:$B$10,2,)</f>
        <v/>
      </c>
      <c r="C19" s="14" t="n">
        <v>45655</v>
      </c>
      <c r="D19" s="14" t="inlineStr">
        <is>
          <t>출금</t>
        </is>
      </c>
      <c r="E19" s="14" t="inlineStr">
        <is>
          <t>경조사비</t>
        </is>
      </c>
      <c r="F19" s="120" t="n">
        <v>1000000</v>
      </c>
      <c r="G19" s="120" t="n"/>
      <c r="H19" s="121">
        <f>G19-F19</f>
        <v/>
      </c>
      <c r="I19" s="16" t="inlineStr">
        <is>
          <t>박상용, 축의금</t>
        </is>
      </c>
    </row>
    <row r="20">
      <c r="A20" s="10">
        <f>RIGHT(YEAR(C20),2)&amp;"년 "&amp;MONTH(C20)&amp;"월"</f>
        <v/>
      </c>
      <c r="B20" s="10">
        <f>VLOOKUP(WEEKDAY(C20,2),참조!$A$1:$B$10,2,)</f>
        <v/>
      </c>
      <c r="C20" s="14" t="n">
        <v>45657</v>
      </c>
      <c r="D20" s="14" t="inlineStr">
        <is>
          <t>입금</t>
        </is>
      </c>
      <c r="E20" s="14" t="inlineStr">
        <is>
          <t>이자</t>
        </is>
      </c>
      <c r="F20" s="120" t="n"/>
      <c r="G20" s="120">
        <f>46+118+158+264+144+150+258+300</f>
        <v/>
      </c>
      <c r="H20" s="121">
        <f>G20-F20</f>
        <v/>
      </c>
      <c r="I20" s="16" t="inlineStr">
        <is>
          <t>연간이자_잔액맞추기용</t>
        </is>
      </c>
    </row>
    <row r="21">
      <c r="A21" s="10">
        <f>RIGHT(YEAR(C21),2)&amp;"년 "&amp;MONTH(C21)&amp;"월"</f>
        <v/>
      </c>
      <c r="B21" s="10">
        <f>VLOOKUP(WEEKDAY(C21,2),참조!$A$1:$B$10,2,)</f>
        <v/>
      </c>
      <c r="C21" s="14" t="n">
        <v>45658</v>
      </c>
      <c r="D21" s="14" t="inlineStr">
        <is>
          <t>입금</t>
        </is>
      </c>
      <c r="E21" s="14" t="inlineStr">
        <is>
          <t>회비</t>
        </is>
      </c>
      <c r="F21" s="120" t="n"/>
      <c r="G21" s="120">
        <f>SUMIFS(입금현황!$Y:$Y,입금현황!$A:$A,원장!$A21)</f>
        <v/>
      </c>
      <c r="H21" s="121">
        <f>G21-F21</f>
        <v/>
      </c>
      <c r="I21" s="16" t="inlineStr">
        <is>
          <t>월간회비납부</t>
        </is>
      </c>
    </row>
    <row r="22">
      <c r="A22" s="10">
        <f>RIGHT(YEAR(C22),2)&amp;"년 "&amp;MONTH(C22)&amp;"월"</f>
        <v/>
      </c>
      <c r="B22" s="10">
        <f>VLOOKUP(WEEKDAY(C22,2),참조!$A$1:$B$10,2,)</f>
        <v/>
      </c>
      <c r="C22" s="14" t="n">
        <v>45675</v>
      </c>
      <c r="D22" s="14" t="inlineStr">
        <is>
          <t>출금</t>
        </is>
      </c>
      <c r="E22" s="14" t="inlineStr">
        <is>
          <t>모임비</t>
        </is>
      </c>
      <c r="F22" s="120" t="n">
        <v>582400</v>
      </c>
      <c r="G22" s="120" t="n"/>
      <c r="H22" s="121">
        <f>G22-F22</f>
        <v/>
      </c>
      <c r="I22" s="16" t="inlineStr">
        <is>
          <t>조현민, 후라토식당 신사점</t>
        </is>
      </c>
    </row>
    <row r="23">
      <c r="A23" s="10">
        <f>RIGHT(YEAR(C23),2)&amp;"년 "&amp;MONTH(C23)&amp;"월"</f>
        <v/>
      </c>
      <c r="B23" s="10">
        <f>VLOOKUP(WEEKDAY(C23,2),참조!$A$1:$B$10,2,)</f>
        <v/>
      </c>
      <c r="C23" s="14" t="n">
        <v>45675</v>
      </c>
      <c r="D23" s="14" t="inlineStr">
        <is>
          <t>출금</t>
        </is>
      </c>
      <c r="E23" s="14" t="inlineStr">
        <is>
          <t>모임비</t>
        </is>
      </c>
      <c r="F23" s="120" t="n">
        <v>284900</v>
      </c>
      <c r="G23" s="120" t="n"/>
      <c r="H23" s="121">
        <f>G23-F23</f>
        <v/>
      </c>
      <c r="I23" s="16" t="inlineStr">
        <is>
          <t>박세환, 강남파티룸 아크로셰</t>
        </is>
      </c>
    </row>
    <row r="24">
      <c r="A24" s="10">
        <f>RIGHT(YEAR(C24),2)&amp;"년 "&amp;MONTH(C24)&amp;"월"</f>
        <v/>
      </c>
      <c r="B24" s="10">
        <f>VLOOKUP(WEEKDAY(C24,2),참조!$A$1:$B$10,2,)</f>
        <v/>
      </c>
      <c r="C24" s="14" t="n">
        <v>45688</v>
      </c>
      <c r="D24" s="14" t="inlineStr">
        <is>
          <t>출금</t>
        </is>
      </c>
      <c r="E24" s="14" t="inlineStr">
        <is>
          <t>경조사비</t>
        </is>
      </c>
      <c r="F24" s="120" t="n">
        <v>400000</v>
      </c>
      <c r="G24" s="120" t="n"/>
      <c r="H24" s="121">
        <f>G24-F24</f>
        <v/>
      </c>
      <c r="I24" s="16" t="inlineStr">
        <is>
          <t>최종하, 생일</t>
        </is>
      </c>
    </row>
    <row r="25">
      <c r="A25" s="10">
        <f>RIGHT(YEAR(C25),2)&amp;"년 "&amp;MONTH(C25)&amp;"월"</f>
        <v/>
      </c>
      <c r="B25" s="10">
        <f>VLOOKUP(WEEKDAY(C25,2),참조!$A$1:$B$10,2,)</f>
        <v/>
      </c>
      <c r="C25" s="14" t="n">
        <v>45688</v>
      </c>
      <c r="D25" s="14" t="inlineStr">
        <is>
          <t>입금</t>
        </is>
      </c>
      <c r="E25" s="14" t="inlineStr">
        <is>
          <t>이자</t>
        </is>
      </c>
      <c r="F25" s="120" t="n"/>
      <c r="G25" s="120" t="n">
        <v>166</v>
      </c>
      <c r="H25" s="121">
        <f>G25-F25</f>
        <v/>
      </c>
      <c r="I25" s="16" t="inlineStr">
        <is>
          <t>월간이자_잔액맞추기용</t>
        </is>
      </c>
    </row>
    <row r="26">
      <c r="A26" s="10">
        <f>RIGHT(YEAR(C26),2)&amp;"년 "&amp;MONTH(C26)&amp;"월"</f>
        <v/>
      </c>
      <c r="B26" s="10">
        <f>VLOOKUP(WEEKDAY(C26,2),참조!$A$1:$B$10,2,)</f>
        <v/>
      </c>
      <c r="C26" s="14" t="n">
        <v>45689</v>
      </c>
      <c r="D26" s="14" t="inlineStr">
        <is>
          <t>입금</t>
        </is>
      </c>
      <c r="E26" s="14" t="inlineStr">
        <is>
          <t>회비</t>
        </is>
      </c>
      <c r="F26" s="120" t="n"/>
      <c r="G26" s="120">
        <f>SUMIFS(입금현황!$Y:$Y,입금현황!$A:$A,원장!$A26)</f>
        <v/>
      </c>
      <c r="H26" s="121">
        <f>G26-F26</f>
        <v/>
      </c>
      <c r="I26" s="16" t="inlineStr">
        <is>
          <t>월간회비납부</t>
        </is>
      </c>
    </row>
    <row r="27">
      <c r="A27" s="10">
        <f>RIGHT(YEAR(C27),2)&amp;"년 "&amp;MONTH(C27)&amp;"월"</f>
        <v/>
      </c>
      <c r="B27" s="10">
        <f>VLOOKUP(WEEKDAY(C27,2),참조!$A$1:$B$10,2,)</f>
        <v/>
      </c>
      <c r="C27" s="14" t="n">
        <v>45710</v>
      </c>
      <c r="D27" s="14" t="inlineStr">
        <is>
          <t>출금</t>
        </is>
      </c>
      <c r="E27" s="14" t="inlineStr">
        <is>
          <t>모임비</t>
        </is>
      </c>
      <c r="F27" s="120" t="n">
        <v>180000</v>
      </c>
      <c r="G27" s="120" t="n"/>
      <c r="H27" s="121">
        <f>G27-F27</f>
        <v/>
      </c>
      <c r="I27" s="16" t="inlineStr">
        <is>
          <t>조현민, 물고기자리논현점</t>
        </is>
      </c>
    </row>
    <row r="28">
      <c r="A28" s="10">
        <f>RIGHT(YEAR(C28),2)&amp;"년 "&amp;MONTH(C28)&amp;"월"</f>
        <v/>
      </c>
      <c r="B28" s="10">
        <f>VLOOKUP(WEEKDAY(C28,2),참조!$A$1:$B$10,2,)</f>
        <v/>
      </c>
      <c r="C28" s="14" t="n">
        <v>45710</v>
      </c>
      <c r="D28" s="14" t="inlineStr">
        <is>
          <t>출금</t>
        </is>
      </c>
      <c r="E28" s="14" t="inlineStr">
        <is>
          <t>모임비</t>
        </is>
      </c>
      <c r="F28" s="120" t="n">
        <v>110800</v>
      </c>
      <c r="G28" s="120" t="n"/>
      <c r="H28" s="121">
        <f>G28-F28</f>
        <v/>
      </c>
      <c r="I28" s="16" t="inlineStr">
        <is>
          <t>조현민, 도미노피자</t>
        </is>
      </c>
    </row>
    <row r="29">
      <c r="A29" s="10">
        <f>RIGHT(YEAR(C29),2)&amp;"년 "&amp;MONTH(C29)&amp;"월"</f>
        <v/>
      </c>
      <c r="B29" s="10">
        <f>VLOOKUP(WEEKDAY(C29,2),참조!$A$1:$B$10,2,)</f>
        <v/>
      </c>
      <c r="C29" s="14" t="n">
        <v>45710</v>
      </c>
      <c r="D29" s="14" t="inlineStr">
        <is>
          <t>출금</t>
        </is>
      </c>
      <c r="E29" s="14" t="inlineStr">
        <is>
          <t>모임비</t>
        </is>
      </c>
      <c r="F29" s="120" t="n">
        <v>30000</v>
      </c>
      <c r="G29" s="120" t="n"/>
      <c r="H29" s="121">
        <f>G29-F29</f>
        <v/>
      </c>
      <c r="I29" s="16" t="inlineStr">
        <is>
          <t xml:space="preserve">조현민, </t>
        </is>
      </c>
    </row>
    <row r="30">
      <c r="A30" s="10">
        <f>RIGHT(YEAR(C30),2)&amp;"년 "&amp;MONTH(C30)&amp;"월"</f>
        <v/>
      </c>
      <c r="B30" s="10">
        <f>VLOOKUP(WEEKDAY(C30,2),참조!$A$1:$B$10,2,)</f>
        <v/>
      </c>
      <c r="C30" s="14" t="n">
        <v>45716</v>
      </c>
      <c r="D30" s="14" t="inlineStr">
        <is>
          <t>출금</t>
        </is>
      </c>
      <c r="E30" s="14" t="inlineStr">
        <is>
          <t>경조사비</t>
        </is>
      </c>
      <c r="F30" s="120" t="n">
        <v>100000</v>
      </c>
      <c r="G30" s="120" t="n"/>
      <c r="H30" s="121">
        <f>G30-F30</f>
        <v/>
      </c>
      <c r="I30" s="16" t="inlineStr">
        <is>
          <t>박상용, 생일</t>
        </is>
      </c>
    </row>
    <row r="31">
      <c r="A31" s="10">
        <f>RIGHT(YEAR(C31),2)&amp;"년 "&amp;MONTH(C31)&amp;"월"</f>
        <v/>
      </c>
      <c r="B31" s="10">
        <f>VLOOKUP(WEEKDAY(C31,2),참조!$A$1:$B$10,2,)</f>
        <v/>
      </c>
      <c r="C31" s="14" t="n">
        <v>45716</v>
      </c>
      <c r="D31" s="14" t="inlineStr">
        <is>
          <t>입금</t>
        </is>
      </c>
      <c r="E31" s="14" t="inlineStr">
        <is>
          <t>이자</t>
        </is>
      </c>
      <c r="F31" s="120" t="n"/>
      <c r="G31" s="120" t="n">
        <v>266</v>
      </c>
      <c r="H31" s="121">
        <f>G31-F31</f>
        <v/>
      </c>
      <c r="I31" s="16" t="inlineStr">
        <is>
          <t>월간이자_잔액맞추기용</t>
        </is>
      </c>
    </row>
    <row r="32">
      <c r="A32" s="10">
        <f>RIGHT(YEAR(C32),2)&amp;"년 "&amp;MONTH(C32)&amp;"월"</f>
        <v/>
      </c>
      <c r="B32" s="10">
        <f>VLOOKUP(WEEKDAY(C32,2),참조!$A$1:$B$10,2,)</f>
        <v/>
      </c>
      <c r="C32" s="14" t="n">
        <v>45717</v>
      </c>
      <c r="D32" s="14" t="inlineStr">
        <is>
          <t>입금</t>
        </is>
      </c>
      <c r="E32" s="14" t="inlineStr">
        <is>
          <t>회비</t>
        </is>
      </c>
      <c r="F32" s="120" t="n"/>
      <c r="G32" s="120">
        <f>SUMIFS(입금현황!$Y:$Y,입금현황!$A:$A,원장!$A32)</f>
        <v/>
      </c>
      <c r="H32" s="121">
        <f>G32-F32</f>
        <v/>
      </c>
      <c r="I32" s="16" t="inlineStr">
        <is>
          <t>월간회비납부</t>
        </is>
      </c>
    </row>
    <row r="33">
      <c r="A33" s="10">
        <f>RIGHT(YEAR(C33),2)&amp;"년 "&amp;MONTH(C33)&amp;"월"</f>
        <v/>
      </c>
      <c r="B33" s="10">
        <f>VLOOKUP(WEEKDAY(C33,2),참조!$A$1:$B$10,2,)</f>
        <v/>
      </c>
      <c r="C33" s="14" t="n">
        <v>45726</v>
      </c>
      <c r="D33" s="14" t="inlineStr">
        <is>
          <t>출금</t>
        </is>
      </c>
      <c r="E33" s="14" t="inlineStr">
        <is>
          <t>모임비</t>
        </is>
      </c>
      <c r="F33" s="120" t="n">
        <v>90000</v>
      </c>
      <c r="G33" s="120">
        <f>-6500*3</f>
        <v/>
      </c>
      <c r="H33" s="121">
        <f>G33-F33</f>
        <v/>
      </c>
      <c r="I33" s="16" t="inlineStr">
        <is>
          <t>골프공 맞추기</t>
        </is>
      </c>
    </row>
    <row r="34">
      <c r="A34" s="10">
        <f>RIGHT(YEAR(C34),2)&amp;"년 "&amp;MONTH(C34)&amp;"월"</f>
        <v/>
      </c>
      <c r="B34" s="10">
        <f>VLOOKUP(WEEKDAY(C34,2),참조!$A$1:$B$10,2,)</f>
        <v/>
      </c>
      <c r="C34" s="14" t="n">
        <v>45745</v>
      </c>
      <c r="D34" s="14" t="inlineStr">
        <is>
          <t>출금</t>
        </is>
      </c>
      <c r="E34" s="14" t="inlineStr">
        <is>
          <t>모임비</t>
        </is>
      </c>
      <c r="F34" s="120" t="n">
        <v>480000</v>
      </c>
      <c r="G34" s="120" t="n"/>
      <c r="H34" s="121">
        <f>G34-F34</f>
        <v/>
      </c>
      <c r="I34" s="16" t="inlineStr">
        <is>
          <t>최정훈, 장소예약</t>
        </is>
      </c>
    </row>
    <row r="35">
      <c r="A35" s="10">
        <f>RIGHT(YEAR(C35),2)&amp;"년 "&amp;MONTH(C35)&amp;"월"</f>
        <v/>
      </c>
      <c r="B35" s="10">
        <f>VLOOKUP(WEEKDAY(C35,2),참조!$A$1:$B$10,2,)</f>
        <v/>
      </c>
      <c r="C35" s="14" t="n">
        <v>45745</v>
      </c>
      <c r="D35" s="14" t="inlineStr">
        <is>
          <t>출금</t>
        </is>
      </c>
      <c r="E35" s="14" t="inlineStr">
        <is>
          <t>모임비</t>
        </is>
      </c>
      <c r="F35" s="120" t="n">
        <v>497270</v>
      </c>
      <c r="G35" s="120" t="n"/>
      <c r="H35" s="121">
        <f>G35-F35</f>
        <v/>
      </c>
      <c r="I35" s="16" t="inlineStr">
        <is>
          <t>조현민, 장보기</t>
        </is>
      </c>
    </row>
    <row r="36">
      <c r="A36" s="10">
        <f>RIGHT(YEAR(C36),2)&amp;"년 "&amp;MONTH(C36)&amp;"월"</f>
        <v/>
      </c>
      <c r="B36" s="10">
        <f>VLOOKUP(WEEKDAY(C36,2),참조!$A$1:$B$10,2,)</f>
        <v/>
      </c>
      <c r="C36" s="14" t="n">
        <v>45745</v>
      </c>
      <c r="D36" s="14" t="inlineStr">
        <is>
          <t>입금</t>
        </is>
      </c>
      <c r="E36" s="14" t="inlineStr">
        <is>
          <t>이자</t>
        </is>
      </c>
      <c r="F36" s="120" t="n"/>
      <c r="G36" s="120" t="n">
        <v>253</v>
      </c>
      <c r="H36" s="121">
        <f>G36-F36</f>
        <v/>
      </c>
      <c r="I36" s="16" t="inlineStr">
        <is>
          <t>월간이자_잔액맞추기용</t>
        </is>
      </c>
    </row>
    <row r="37">
      <c r="A37" s="10">
        <f>RIGHT(YEAR(C37),2)&amp;"년 "&amp;MONTH(C37)&amp;"월"</f>
        <v/>
      </c>
      <c r="B37" s="10">
        <f>VLOOKUP(WEEKDAY(C37,2),참조!$A$1:$B$10,2,)</f>
        <v/>
      </c>
      <c r="C37" s="14" t="n">
        <v>45748</v>
      </c>
      <c r="D37" s="14" t="inlineStr">
        <is>
          <t>입금</t>
        </is>
      </c>
      <c r="E37" s="14" t="inlineStr">
        <is>
          <t>회비</t>
        </is>
      </c>
      <c r="F37" s="120" t="n"/>
      <c r="G37" s="120">
        <f>SUMIFS(입금현황!$Y:$Y,입금현황!$A:$A,원장!$A37)</f>
        <v/>
      </c>
      <c r="H37" s="121">
        <f>G37-F37</f>
        <v/>
      </c>
      <c r="I37" s="16" t="inlineStr">
        <is>
          <t>월간회비납부</t>
        </is>
      </c>
    </row>
    <row r="38">
      <c r="A38" s="10">
        <f>RIGHT(YEAR(C38),2)&amp;"년 "&amp;MONTH(C38)&amp;"월"</f>
        <v/>
      </c>
      <c r="B38" s="10">
        <f>VLOOKUP(WEEKDAY(C38,2),참조!$A$1:$B$10,2,)</f>
        <v/>
      </c>
      <c r="C38" s="14" t="n">
        <v>45773</v>
      </c>
      <c r="D38" s="14" t="inlineStr">
        <is>
          <t>출금</t>
        </is>
      </c>
      <c r="E38" s="14" t="inlineStr">
        <is>
          <t>모임비</t>
        </is>
      </c>
      <c r="F38" s="120" t="n">
        <v>1276000</v>
      </c>
      <c r="G38" s="120" t="n"/>
      <c r="H38" s="121">
        <f>G38-F38</f>
        <v/>
      </c>
      <c r="I38" s="16" t="inlineStr">
        <is>
          <t>최종하, 몽중헌 청담</t>
        </is>
      </c>
    </row>
    <row r="39">
      <c r="A39" s="10">
        <f>RIGHT(YEAR(C39),2)&amp;"년 "&amp;MONTH(C39)&amp;"월"</f>
        <v/>
      </c>
      <c r="B39" s="10">
        <f>VLOOKUP(WEEKDAY(C39,2),참조!$A$1:$B$10,2,)</f>
        <v/>
      </c>
      <c r="C39" s="14" t="n">
        <v>45778</v>
      </c>
      <c r="D39" s="14" t="inlineStr">
        <is>
          <t>입금</t>
        </is>
      </c>
      <c r="E39" s="14" t="inlineStr">
        <is>
          <t>회비</t>
        </is>
      </c>
      <c r="F39" s="120" t="n"/>
      <c r="G39" s="120">
        <f>SUMIFS(입금현황!$Y:$Y,입금현황!$A:$A,원장!$A39)</f>
        <v/>
      </c>
      <c r="H39" s="121">
        <f>G39-F39</f>
        <v/>
      </c>
      <c r="I39" s="16" t="inlineStr">
        <is>
          <t>월간회비납부</t>
        </is>
      </c>
    </row>
    <row r="40">
      <c r="A40" s="10">
        <f>RIGHT(YEAR(C40),2)&amp;"년 "&amp;MONTH(C40)&amp;"월"</f>
        <v/>
      </c>
      <c r="B40" s="10">
        <f>VLOOKUP(WEEKDAY(C40,2),참조!$A$1:$B$10,2,)</f>
        <v/>
      </c>
      <c r="C40" s="14" t="n">
        <v>45808</v>
      </c>
      <c r="D40" s="14" t="inlineStr">
        <is>
          <t>출금</t>
        </is>
      </c>
      <c r="E40" s="14" t="inlineStr">
        <is>
          <t>경조사비</t>
        </is>
      </c>
      <c r="F40" s="120">
        <f>INT(607500/3)</f>
        <v/>
      </c>
      <c r="G40" s="120" t="n"/>
      <c r="H40" s="121">
        <f>G40-F40</f>
        <v/>
      </c>
      <c r="I40" s="16" t="inlineStr">
        <is>
          <t>김민기, 업무축하</t>
        </is>
      </c>
    </row>
    <row r="41">
      <c r="A41" s="10">
        <f>RIGHT(YEAR(C41),2)&amp;"년 "&amp;MONTH(C41)&amp;"월"</f>
        <v/>
      </c>
      <c r="B41" s="10">
        <f>VLOOKUP(WEEKDAY(C41,2),참조!$A$1:$B$10,2,)</f>
        <v/>
      </c>
      <c r="C41" s="14" t="n">
        <v>45808</v>
      </c>
      <c r="D41" s="14" t="inlineStr">
        <is>
          <t>출금</t>
        </is>
      </c>
      <c r="E41" s="14" t="inlineStr">
        <is>
          <t>경조사비</t>
        </is>
      </c>
      <c r="F41" s="120">
        <f>INT(607500/3)</f>
        <v/>
      </c>
      <c r="G41" s="120" t="n"/>
      <c r="H41" s="121">
        <f>G41-F41</f>
        <v/>
      </c>
      <c r="I41" s="16" t="inlineStr">
        <is>
          <t>김성환, 업무축하</t>
        </is>
      </c>
    </row>
    <row r="42">
      <c r="A42" s="10">
        <f>RIGHT(YEAR(C42),2)&amp;"년 "&amp;MONTH(C42)&amp;"월"</f>
        <v/>
      </c>
      <c r="B42" s="10">
        <f>VLOOKUP(WEEKDAY(C42,2),참조!$A$1:$B$10,2,)</f>
        <v/>
      </c>
      <c r="C42" s="14" t="n">
        <v>45808</v>
      </c>
      <c r="D42" s="14" t="inlineStr">
        <is>
          <t>출금</t>
        </is>
      </c>
      <c r="E42" s="14" t="inlineStr">
        <is>
          <t>경조사비</t>
        </is>
      </c>
      <c r="F42" s="120">
        <f>INT(607500/3)</f>
        <v/>
      </c>
      <c r="G42" s="120" t="n"/>
      <c r="H42" s="121">
        <f>G42-F42</f>
        <v/>
      </c>
      <c r="I42" s="16" t="inlineStr">
        <is>
          <t>박세환, 업무축하</t>
        </is>
      </c>
    </row>
    <row r="43">
      <c r="A43" s="10">
        <f>RIGHT(YEAR(C43),2)&amp;"년 "&amp;MONTH(C43)&amp;"월"</f>
        <v/>
      </c>
      <c r="B43" s="10">
        <f>VLOOKUP(WEEKDAY(C43,2),참조!$A$1:$B$10,2,)</f>
        <v/>
      </c>
      <c r="C43" s="14" t="n">
        <v>45808</v>
      </c>
      <c r="D43" s="14" t="inlineStr">
        <is>
          <t>출금</t>
        </is>
      </c>
      <c r="E43" s="14" t="inlineStr">
        <is>
          <t>모임비</t>
        </is>
      </c>
      <c r="F43" s="120" t="n">
        <v>1046000</v>
      </c>
      <c r="G43" s="120" t="n"/>
      <c r="H43" s="121">
        <f>G43-F43</f>
        <v/>
      </c>
      <c r="I43" s="16" t="inlineStr">
        <is>
          <t>권한해, 영동장어</t>
        </is>
      </c>
    </row>
    <row r="44">
      <c r="A44" s="10">
        <f>RIGHT(YEAR(C44),2)&amp;"년 "&amp;MONTH(C44)&amp;"월"</f>
        <v/>
      </c>
      <c r="B44" s="10">
        <f>VLOOKUP(WEEKDAY(C44,2),참조!$A$1:$B$10,2,)</f>
        <v/>
      </c>
      <c r="C44" s="14" t="n">
        <v>45808</v>
      </c>
      <c r="D44" s="14" t="inlineStr">
        <is>
          <t>입금</t>
        </is>
      </c>
      <c r="E44" s="14" t="inlineStr">
        <is>
          <t>이자</t>
        </is>
      </c>
      <c r="F44" s="120" t="n"/>
      <c r="G44" s="120" t="n">
        <v>944</v>
      </c>
      <c r="H44" s="121">
        <f>G44-F44</f>
        <v/>
      </c>
      <c r="I44" s="16" t="inlineStr">
        <is>
          <t>월간이자_잔액맞추기용</t>
        </is>
      </c>
    </row>
    <row r="45">
      <c r="A45" s="10">
        <f>RIGHT(YEAR(C45),2)&amp;"년 "&amp;MONTH(C45)&amp;"월"</f>
        <v/>
      </c>
      <c r="B45" s="10">
        <f>VLOOKUP(WEEKDAY(C45,2),참조!$A$1:$B$10,2,)</f>
        <v/>
      </c>
      <c r="C45" s="14" t="n">
        <v>45809</v>
      </c>
      <c r="D45" s="14" t="inlineStr">
        <is>
          <t>입금</t>
        </is>
      </c>
      <c r="E45" s="14" t="inlineStr">
        <is>
          <t>회비</t>
        </is>
      </c>
      <c r="F45" s="120" t="n"/>
      <c r="G45" s="120">
        <f>SUMIFS(입금현황!$Y:$Y,입금현황!$A:$A,원장!$A45)</f>
        <v/>
      </c>
      <c r="H45" s="121">
        <f>G45-F45</f>
        <v/>
      </c>
      <c r="I45" s="16" t="inlineStr">
        <is>
          <t>월간회비납부</t>
        </is>
      </c>
    </row>
    <row r="46">
      <c r="A46" s="10">
        <f>RIGHT(YEAR(C46),2)&amp;"년 "&amp;MONTH(C46)&amp;"월"</f>
        <v/>
      </c>
      <c r="B46" s="10">
        <f>VLOOKUP(WEEKDAY(C46,2),참조!$A$1:$B$10,2,)</f>
        <v/>
      </c>
      <c r="C46" s="14" t="n">
        <v>45838</v>
      </c>
      <c r="D46" s="14" t="inlineStr">
        <is>
          <t>출금</t>
        </is>
      </c>
      <c r="E46" s="14" t="inlineStr">
        <is>
          <t>모임비</t>
        </is>
      </c>
      <c r="F46" s="120" t="n">
        <v>671400</v>
      </c>
      <c r="G46" s="120" t="n"/>
      <c r="H46" s="121">
        <f>G46-F46</f>
        <v/>
      </c>
      <c r="I46" s="16" t="inlineStr">
        <is>
          <t>권기표, 모드라운지 남부터미널점</t>
        </is>
      </c>
    </row>
    <row r="47">
      <c r="A47" s="10">
        <f>RIGHT(YEAR(C47),2)&amp;"년 "&amp;MONTH(C47)&amp;"월"</f>
        <v/>
      </c>
      <c r="B47" s="10">
        <f>VLOOKUP(WEEKDAY(C47,2),참조!$A$1:$B$10,2,)</f>
        <v/>
      </c>
      <c r="C47" s="14" t="n">
        <v>45838</v>
      </c>
      <c r="D47" s="14" t="inlineStr">
        <is>
          <t>출금</t>
        </is>
      </c>
      <c r="E47" s="14" t="inlineStr">
        <is>
          <t>강연비</t>
        </is>
      </c>
      <c r="F47" s="120" t="n">
        <v>870000</v>
      </c>
      <c r="G47" s="120" t="n"/>
      <c r="H47" s="121">
        <f>G47-F47</f>
        <v/>
      </c>
      <c r="I47" s="16" t="inlineStr">
        <is>
          <t>옥지엽, 이너트립, AI강의</t>
        </is>
      </c>
    </row>
    <row r="48">
      <c r="A48" s="10">
        <f>RIGHT(YEAR(C48),2)&amp;"년 "&amp;MONTH(C48)&amp;"월"</f>
        <v/>
      </c>
      <c r="B48" s="10">
        <f>VLOOKUP(WEEKDAY(C48,2),참조!$A$1:$B$10,2,)</f>
        <v/>
      </c>
      <c r="C48" s="14" t="n">
        <v>45838</v>
      </c>
      <c r="D48" s="14" t="inlineStr">
        <is>
          <t>출금</t>
        </is>
      </c>
      <c r="E48" s="14" t="inlineStr">
        <is>
          <t>모임비</t>
        </is>
      </c>
      <c r="F48" s="120" t="n">
        <v>12000</v>
      </c>
      <c r="G48" s="120" t="n"/>
      <c r="H48" s="121">
        <f>G48-F48</f>
        <v/>
      </c>
      <c r="I48" s="16" t="inlineStr">
        <is>
          <t>이대로, 커피</t>
        </is>
      </c>
    </row>
    <row r="49">
      <c r="A49" s="10">
        <f>RIGHT(YEAR(C49),2)&amp;"년 "&amp;MONTH(C49)&amp;"월"</f>
        <v/>
      </c>
      <c r="B49" s="10">
        <f>VLOOKUP(WEEKDAY(C49,2),참조!$A$1:$B$10,2,)</f>
        <v/>
      </c>
      <c r="C49" s="14" t="n">
        <v>45838</v>
      </c>
      <c r="D49" s="14" t="inlineStr">
        <is>
          <t>출금</t>
        </is>
      </c>
      <c r="E49" s="14" t="inlineStr">
        <is>
          <t>모임비</t>
        </is>
      </c>
      <c r="F49" s="120" t="n">
        <v>150000</v>
      </c>
      <c r="G49" s="120" t="n"/>
      <c r="H49" s="121">
        <f>G49-F49</f>
        <v/>
      </c>
      <c r="I49" s="16" t="inlineStr">
        <is>
          <t>허준혁, 사진</t>
        </is>
      </c>
    </row>
    <row r="50">
      <c r="A50" s="10">
        <f>RIGHT(YEAR(C50),2)&amp;"년 "&amp;MONTH(C50)&amp;"월"</f>
        <v/>
      </c>
      <c r="B50" s="10">
        <f>VLOOKUP(WEEKDAY(C50,2),참조!$A$1:$B$10,2,)</f>
        <v/>
      </c>
      <c r="C50" s="14" t="n">
        <v>45838</v>
      </c>
      <c r="D50" s="14" t="inlineStr">
        <is>
          <t>입금</t>
        </is>
      </c>
      <c r="E50" s="14" t="inlineStr">
        <is>
          <t>이자</t>
        </is>
      </c>
      <c r="F50" s="120" t="n"/>
      <c r="G50" s="120" t="n">
        <v>426</v>
      </c>
      <c r="H50" s="121">
        <f>G50-F50</f>
        <v/>
      </c>
      <c r="I50" s="16" t="inlineStr">
        <is>
          <t>월간이자_잔액맞추기용</t>
        </is>
      </c>
    </row>
    <row r="51">
      <c r="A51" s="10">
        <f>RIGHT(YEAR(C51),2)&amp;"년 "&amp;MONTH(C51)&amp;"월"</f>
        <v/>
      </c>
      <c r="B51" s="10">
        <f>VLOOKUP(WEEKDAY(C51,2),참조!$A$1:$B$10,2,)</f>
        <v/>
      </c>
      <c r="C51" s="14" t="n">
        <v>45839</v>
      </c>
      <c r="D51" s="14" t="inlineStr">
        <is>
          <t>입금</t>
        </is>
      </c>
      <c r="E51" s="14" t="inlineStr">
        <is>
          <t>회비</t>
        </is>
      </c>
      <c r="F51" s="120" t="n"/>
      <c r="G51" s="120">
        <f>SUMIFS(입금현황!$Y:$Y,입금현황!$A:$A,원장!$A51)</f>
        <v/>
      </c>
      <c r="H51" s="121">
        <f>G51-F51</f>
        <v/>
      </c>
      <c r="I51" s="16" t="inlineStr">
        <is>
          <t>월간회비납부</t>
        </is>
      </c>
    </row>
    <row r="52">
      <c r="A52" s="10">
        <f>RIGHT(YEAR(C52),2)&amp;"년 "&amp;MONTH(C52)&amp;"월"</f>
        <v/>
      </c>
      <c r="B52" s="10">
        <f>VLOOKUP(WEEKDAY(C52,2),참조!$A$1:$B$10,2,)</f>
        <v/>
      </c>
      <c r="C52" s="14" t="n">
        <v>45868</v>
      </c>
      <c r="D52" s="14" t="inlineStr">
        <is>
          <t>출금</t>
        </is>
      </c>
      <c r="E52" s="14" t="inlineStr">
        <is>
          <t>모임비</t>
        </is>
      </c>
      <c r="F52" s="120">
        <f>455500+11000+6000+3000+66000+66000+60500+50000</f>
        <v/>
      </c>
      <c r="G52" s="120" t="n"/>
      <c r="H52" s="121">
        <f>G52-F52</f>
        <v/>
      </c>
      <c r="I52" s="16" t="inlineStr">
        <is>
          <t>서초바글, 11명</t>
        </is>
      </c>
    </row>
    <row r="53">
      <c r="A53" s="10">
        <f>RIGHT(YEAR(C53),2)&amp;"년 "&amp;MONTH(C53)&amp;"월"</f>
        <v/>
      </c>
      <c r="B53" s="10">
        <f>VLOOKUP(WEEKDAY(C53,2),참조!$A$1:$B$10,2,)</f>
        <v/>
      </c>
      <c r="C53" s="14" t="n">
        <v>45868</v>
      </c>
      <c r="D53" s="14" t="inlineStr">
        <is>
          <t>입금</t>
        </is>
      </c>
      <c r="E53" s="14" t="inlineStr">
        <is>
          <t>이자</t>
        </is>
      </c>
      <c r="F53" s="120" t="n"/>
      <c r="G53" s="120" t="n">
        <v>671</v>
      </c>
      <c r="H53" s="121">
        <f>G53-F53</f>
        <v/>
      </c>
      <c r="I53" s="16" t="inlineStr">
        <is>
          <t>월간이자_잔액맞추기용</t>
        </is>
      </c>
    </row>
    <row r="54">
      <c r="A54" s="10">
        <f>RIGHT(YEAR(C54),2)&amp;"년 "&amp;MONTH(C54)&amp;"월"</f>
        <v/>
      </c>
      <c r="B54" s="10">
        <f>VLOOKUP(WEEKDAY(C54,2),참조!$A$1:$B$10,2,)</f>
        <v/>
      </c>
      <c r="C54" s="14" t="n">
        <v>45868</v>
      </c>
      <c r="D54" s="14" t="inlineStr">
        <is>
          <t>입금</t>
        </is>
      </c>
      <c r="E54" s="14" t="inlineStr">
        <is>
          <t>지각비</t>
        </is>
      </c>
      <c r="F54" s="120" t="n"/>
      <c r="G54" s="120" t="n">
        <v>10000</v>
      </c>
      <c r="H54" s="121">
        <f>G54-F54</f>
        <v/>
      </c>
      <c r="I54" s="16" t="inlineStr">
        <is>
          <t>박승현, 지각비</t>
        </is>
      </c>
    </row>
    <row r="55">
      <c r="A55" s="10">
        <f>RIGHT(YEAR(C55),2)&amp;"년 "&amp;MONTH(C55)&amp;"월"</f>
        <v/>
      </c>
      <c r="B55" s="10">
        <f>VLOOKUP(WEEKDAY(C55,2),참조!$A$1:$B$10,2,)</f>
        <v/>
      </c>
      <c r="C55" s="14" t="n">
        <v>45868</v>
      </c>
      <c r="D55" s="14" t="inlineStr">
        <is>
          <t>입금</t>
        </is>
      </c>
      <c r="E55" s="14" t="inlineStr">
        <is>
          <t>지각비</t>
        </is>
      </c>
      <c r="F55" s="120" t="n"/>
      <c r="G55" s="120" t="n">
        <v>20000</v>
      </c>
      <c r="H55" s="121">
        <f>G55-F55</f>
        <v/>
      </c>
      <c r="I55" s="16" t="inlineStr">
        <is>
          <t>박준하, 지각비</t>
        </is>
      </c>
    </row>
    <row r="56">
      <c r="A56" s="10">
        <f>RIGHT(YEAR(C56),2)&amp;"년 "&amp;MONTH(C56)&amp;"월"</f>
        <v/>
      </c>
      <c r="B56" s="10">
        <f>VLOOKUP(WEEKDAY(C56,2),참조!$A$1:$B$10,2,)</f>
        <v/>
      </c>
      <c r="C56" s="14" t="n">
        <v>45870</v>
      </c>
      <c r="D56" s="14" t="inlineStr">
        <is>
          <t>입금</t>
        </is>
      </c>
      <c r="E56" s="14" t="inlineStr">
        <is>
          <t>회비</t>
        </is>
      </c>
      <c r="F56" s="120" t="n"/>
      <c r="G56" s="120">
        <f>SUMIFS(입금현황!$Y:$Y,입금현황!$A:$A,원장!$A56)</f>
        <v/>
      </c>
      <c r="H56" s="121">
        <f>G56-F56</f>
        <v/>
      </c>
      <c r="I56" s="16" t="inlineStr">
        <is>
          <t>월간회비납부</t>
        </is>
      </c>
    </row>
    <row r="57">
      <c r="A57" s="10">
        <f>RIGHT(YEAR(C57),2)&amp;"년 "&amp;MONTH(C57)&amp;"월"</f>
        <v/>
      </c>
      <c r="B57" s="10">
        <f>VLOOKUP(WEEKDAY(C57,2),참조!$A$1:$B$10,2,)</f>
        <v/>
      </c>
      <c r="C57" s="14" t="n">
        <v>45899</v>
      </c>
      <c r="D57" s="14" t="inlineStr">
        <is>
          <t>출금</t>
        </is>
      </c>
      <c r="E57" s="14" t="inlineStr">
        <is>
          <t>모임비</t>
        </is>
      </c>
      <c r="F57" s="120" t="n">
        <v>1679000</v>
      </c>
      <c r="G57" s="120" t="n"/>
      <c r="H57" s="121">
        <f>G57-F57</f>
        <v/>
      </c>
      <c r="I57" s="16" t="inlineStr">
        <is>
          <t>박승현, 희앤썬 AC호텔바</t>
        </is>
      </c>
    </row>
    <row r="58">
      <c r="A58" s="10">
        <f>RIGHT(YEAR(C58),2)&amp;"년 "&amp;MONTH(C58)&amp;"월"</f>
        <v/>
      </c>
      <c r="B58" s="10">
        <f>VLOOKUP(WEEKDAY(C58,2),참조!$A$1:$B$10,2,)</f>
        <v/>
      </c>
      <c r="C58" s="14" t="n">
        <v>45899</v>
      </c>
      <c r="D58" s="14" t="inlineStr">
        <is>
          <t>입금</t>
        </is>
      </c>
      <c r="E58" s="14" t="inlineStr">
        <is>
          <t>지각비</t>
        </is>
      </c>
      <c r="F58" s="120" t="n"/>
      <c r="G58" s="120" t="n">
        <v>10000</v>
      </c>
      <c r="H58" s="121">
        <f>G58-F58</f>
        <v/>
      </c>
      <c r="I58" s="16" t="inlineStr">
        <is>
          <t>옥지엽, 지각비</t>
        </is>
      </c>
    </row>
    <row r="59">
      <c r="A59" s="10">
        <f>RIGHT(YEAR(C59),2)&amp;"년 "&amp;MONTH(C59)&amp;"월"</f>
        <v/>
      </c>
      <c r="B59" s="10">
        <f>VLOOKUP(WEEKDAY(C59,2),참조!$A$1:$B$10,2,)</f>
        <v/>
      </c>
      <c r="C59" s="14" t="n">
        <v>45899</v>
      </c>
      <c r="D59" s="14" t="inlineStr">
        <is>
          <t>입금</t>
        </is>
      </c>
      <c r="E59" s="14" t="inlineStr">
        <is>
          <t>지각비</t>
        </is>
      </c>
      <c r="F59" s="120" t="n"/>
      <c r="G59" s="120" t="n">
        <v>10000</v>
      </c>
      <c r="H59" s="121">
        <f>G59-F59</f>
        <v/>
      </c>
      <c r="I59" s="16" t="inlineStr">
        <is>
          <t>권기표, 지각비</t>
        </is>
      </c>
    </row>
    <row r="60">
      <c r="A60" s="10">
        <f>RIGHT(YEAR(C60),2)&amp;"년 "&amp;MONTH(C60)&amp;"월"</f>
        <v/>
      </c>
      <c r="B60" s="10">
        <f>VLOOKUP(WEEKDAY(C60,2),참조!$A$1:$B$10,2,)</f>
        <v/>
      </c>
      <c r="C60" s="14" t="n">
        <v>45899</v>
      </c>
      <c r="D60" s="14" t="inlineStr">
        <is>
          <t>입금</t>
        </is>
      </c>
      <c r="E60" s="14" t="inlineStr">
        <is>
          <t>지각비</t>
        </is>
      </c>
      <c r="F60" s="120" t="n"/>
      <c r="G60" s="120" t="n">
        <v>10000</v>
      </c>
      <c r="H60" s="121">
        <f>G60-F60</f>
        <v/>
      </c>
      <c r="I60" s="16" t="inlineStr">
        <is>
          <t>최종하, 지각비</t>
        </is>
      </c>
    </row>
    <row r="61">
      <c r="A61" s="10">
        <f>RIGHT(YEAR(C61),2)&amp;"년 "&amp;MONTH(C61)&amp;"월"</f>
        <v/>
      </c>
      <c r="B61" s="10">
        <f>VLOOKUP(WEEKDAY(C61,2),참조!$A$1:$B$10,2,)</f>
        <v/>
      </c>
      <c r="C61" s="14" t="n">
        <v>45899</v>
      </c>
      <c r="D61" s="14" t="inlineStr">
        <is>
          <t>입금</t>
        </is>
      </c>
      <c r="E61" s="14" t="inlineStr">
        <is>
          <t>지각비</t>
        </is>
      </c>
      <c r="F61" s="120" t="n"/>
      <c r="G61" s="120" t="n">
        <v>10000</v>
      </c>
      <c r="H61" s="121">
        <f>G61-F61</f>
        <v/>
      </c>
      <c r="I61" s="16" t="inlineStr">
        <is>
          <t>서정권, 지각비</t>
        </is>
      </c>
    </row>
    <row r="62">
      <c r="A62" s="10">
        <f>RIGHT(YEAR(C62),2)&amp;"년 "&amp;MONTH(C62)&amp;"월"</f>
        <v/>
      </c>
      <c r="B62" s="10">
        <f>VLOOKUP(WEEKDAY(C62,2),참조!$A$1:$B$10,2,)</f>
        <v/>
      </c>
      <c r="C62" s="14" t="n">
        <v>45899</v>
      </c>
      <c r="D62" s="14" t="inlineStr">
        <is>
          <t>출금</t>
        </is>
      </c>
      <c r="E62" s="14" t="inlineStr">
        <is>
          <t>경품비</t>
        </is>
      </c>
      <c r="F62" s="120">
        <f>1000000+337350</f>
        <v/>
      </c>
      <c r="G62" s="120" t="n"/>
      <c r="H62" s="121">
        <f>G62-F62</f>
        <v/>
      </c>
      <c r="I62" s="16" t="inlineStr">
        <is>
          <t>박승현</t>
        </is>
      </c>
    </row>
    <row r="63">
      <c r="A63" s="10">
        <f>RIGHT(YEAR(C63),2)&amp;"년 "&amp;MONTH(C63)&amp;"월"</f>
        <v/>
      </c>
      <c r="B63" s="10">
        <f>VLOOKUP(WEEKDAY(C63,2),참조!$A$1:$B$10,2,)</f>
        <v/>
      </c>
      <c r="C63" s="14" t="n">
        <v>45899</v>
      </c>
      <c r="D63" s="14" t="inlineStr">
        <is>
          <t>입금</t>
        </is>
      </c>
      <c r="E63" s="14" t="inlineStr">
        <is>
          <t>이자</t>
        </is>
      </c>
      <c r="F63" s="120" t="n"/>
      <c r="G63" s="120" t="n">
        <v>737</v>
      </c>
      <c r="H63" s="121">
        <f>G63-F63</f>
        <v/>
      </c>
      <c r="I63" s="16" t="inlineStr">
        <is>
          <t>월간이자_잔액맞추기용</t>
        </is>
      </c>
    </row>
    <row r="64">
      <c r="A64" s="10">
        <f>RIGHT(YEAR(C64),2)&amp;"년 "&amp;MONTH(C64)&amp;"월"</f>
        <v/>
      </c>
      <c r="B64" s="10">
        <f>VLOOKUP(WEEKDAY(C64,2),참조!$A$1:$B$10,2,)</f>
        <v/>
      </c>
      <c r="C64" s="14" t="n">
        <v>45901</v>
      </c>
      <c r="D64" s="14" t="inlineStr">
        <is>
          <t>입금</t>
        </is>
      </c>
      <c r="E64" s="14" t="inlineStr">
        <is>
          <t>회비</t>
        </is>
      </c>
      <c r="F64" s="120" t="n"/>
      <c r="G64" s="120">
        <f>SUMIFS(입금현황!$Y:$Y,입금현황!$A:$A,원장!$A64)</f>
        <v/>
      </c>
      <c r="H64" s="121">
        <f>G64-F64</f>
        <v/>
      </c>
      <c r="I64" s="16" t="inlineStr">
        <is>
          <t>월간회비납부</t>
        </is>
      </c>
    </row>
    <row r="65">
      <c r="A65" s="10">
        <f>RIGHT(YEAR(C65),2)&amp;"년 "&amp;MONTH(C65)&amp;"월"</f>
        <v/>
      </c>
      <c r="B65" s="10">
        <f>VLOOKUP(WEEKDAY(C65,2),참조!$A$1:$B$10,2,)</f>
        <v/>
      </c>
      <c r="C65" s="14" t="n">
        <v>45918</v>
      </c>
      <c r="D65" s="14" t="inlineStr">
        <is>
          <t>출금</t>
        </is>
      </c>
      <c r="E65" s="14" t="inlineStr">
        <is>
          <t>경조사비</t>
        </is>
      </c>
      <c r="F65" s="120" t="n">
        <v>222800</v>
      </c>
      <c r="G65" s="120" t="n"/>
      <c r="H65" s="121">
        <f>G65-F65</f>
        <v/>
      </c>
      <c r="I65" s="16" t="inlineStr">
        <is>
          <t>박상용</t>
        </is>
      </c>
    </row>
    <row r="66">
      <c r="A66" s="10">
        <f>RIGHT(YEAR(C66),2)&amp;"년 "&amp;MONTH(C66)&amp;"월"</f>
        <v/>
      </c>
      <c r="B66" s="10">
        <f>VLOOKUP(WEEKDAY(C66,2),참조!$A$1:$B$10,2,)</f>
        <v/>
      </c>
      <c r="C66" s="14" t="n">
        <v>45930</v>
      </c>
      <c r="D66" s="14" t="inlineStr">
        <is>
          <t>출금</t>
        </is>
      </c>
      <c r="E66" s="14" t="inlineStr">
        <is>
          <t>경조사비</t>
        </is>
      </c>
      <c r="F66" s="120" t="n">
        <v>400000</v>
      </c>
      <c r="G66" s="120" t="n"/>
      <c r="H66" s="121">
        <f>G66-F66</f>
        <v/>
      </c>
      <c r="I66" s="16" t="inlineStr">
        <is>
          <t>박상용</t>
        </is>
      </c>
    </row>
    <row r="67">
      <c r="A67" s="10">
        <f>RIGHT(YEAR(C67),2)&amp;"년 "&amp;MONTH(C67)&amp;"월"</f>
        <v/>
      </c>
      <c r="B67" s="10">
        <f>VLOOKUP(WEEKDAY(C67,2),참조!$A$1:$B$10,2,)</f>
        <v/>
      </c>
      <c r="C67" s="14" t="n">
        <v>45930</v>
      </c>
      <c r="D67" s="14" t="inlineStr">
        <is>
          <t>출금</t>
        </is>
      </c>
      <c r="E67" s="14" t="inlineStr">
        <is>
          <t>모임비</t>
        </is>
      </c>
      <c r="F67" s="120" t="n">
        <v>508770</v>
      </c>
      <c r="G67" s="120" t="n"/>
      <c r="H67" s="121">
        <f>G67-F67</f>
        <v/>
      </c>
      <c r="I67" s="16" t="inlineStr">
        <is>
          <t>이대로, 지인할인</t>
        </is>
      </c>
    </row>
    <row r="68">
      <c r="A68" s="10">
        <f>RIGHT(YEAR(C68),2)&amp;"년 "&amp;MONTH(C68)&amp;"월"</f>
        <v/>
      </c>
      <c r="B68" s="10">
        <f>VLOOKUP(WEEKDAY(C68,2),참조!$A$1:$B$10,2,)</f>
        <v/>
      </c>
      <c r="C68" s="14" t="n">
        <v>45930</v>
      </c>
      <c r="D68" s="14" t="inlineStr">
        <is>
          <t>출금</t>
        </is>
      </c>
      <c r="E68" s="14" t="inlineStr">
        <is>
          <t>강연비</t>
        </is>
      </c>
      <c r="F68" s="120" t="n">
        <v>1000000</v>
      </c>
      <c r="G68" s="120" t="n"/>
      <c r="H68" s="121">
        <f>G68-F68</f>
        <v/>
      </c>
      <c r="I68" s="16" t="inlineStr">
        <is>
          <t>재테크 특강</t>
        </is>
      </c>
    </row>
    <row r="69">
      <c r="A69" s="10">
        <f>RIGHT(YEAR(C69),2)&amp;"년 "&amp;MONTH(C69)&amp;"월"</f>
        <v/>
      </c>
      <c r="B69" s="10">
        <f>VLOOKUP(WEEKDAY(C69,2),참조!$A$1:$B$10,2,)</f>
        <v/>
      </c>
      <c r="C69" s="14" t="n">
        <v>45930</v>
      </c>
      <c r="D69" s="14" t="inlineStr">
        <is>
          <t>입금</t>
        </is>
      </c>
      <c r="E69" s="14" t="inlineStr">
        <is>
          <t>이자</t>
        </is>
      </c>
      <c r="F69" s="120" t="n"/>
      <c r="G69" s="120" t="n">
        <v>436</v>
      </c>
      <c r="H69" s="121">
        <f>G69-F69</f>
        <v/>
      </c>
      <c r="I69" s="16" t="inlineStr">
        <is>
          <t>월간이자_잔액맞추기용</t>
        </is>
      </c>
    </row>
    <row r="70">
      <c r="A70" s="10">
        <f>RIGHT(YEAR(C70),2)&amp;"년 "&amp;MONTH(C70)&amp;"월"</f>
        <v/>
      </c>
      <c r="B70" s="10">
        <f>VLOOKUP(WEEKDAY(C70,2),참조!$A$1:$B$10,2,)</f>
        <v/>
      </c>
      <c r="C70" s="14" t="n">
        <v>45931</v>
      </c>
      <c r="D70" s="14" t="inlineStr">
        <is>
          <t>입금</t>
        </is>
      </c>
      <c r="E70" s="14" t="inlineStr">
        <is>
          <t>회비</t>
        </is>
      </c>
      <c r="F70" s="120" t="n"/>
      <c r="G70" s="120">
        <f>SUMIFS(입금현황!$Y:$Y,입금현황!$A:$A,원장!$A70)</f>
        <v/>
      </c>
      <c r="H70" s="121">
        <f>G70-F70</f>
        <v/>
      </c>
      <c r="I70" s="16" t="inlineStr">
        <is>
          <t>월간회비납부</t>
        </is>
      </c>
    </row>
    <row r="71">
      <c r="A71" s="10">
        <f>RIGHT(YEAR(C71),2)&amp;"년 "&amp;MONTH(C71)&amp;"월"</f>
        <v/>
      </c>
      <c r="B71" s="10">
        <f>VLOOKUP(WEEKDAY(C71,2),참조!$A$1:$B$10,2,)</f>
        <v/>
      </c>
      <c r="C71" s="14" t="n">
        <v>45956</v>
      </c>
      <c r="D71" s="14" t="inlineStr">
        <is>
          <t>출금</t>
        </is>
      </c>
      <c r="E71" s="14" t="inlineStr">
        <is>
          <t>모임비</t>
        </is>
      </c>
      <c r="F71" s="120" t="n">
        <v>848000</v>
      </c>
      <c r="G71" s="120" t="n"/>
      <c r="H71" s="121">
        <f>G71-F71</f>
        <v/>
      </c>
      <c r="I71" s="16" t="inlineStr">
        <is>
          <t>문인욱</t>
        </is>
      </c>
    </row>
    <row r="72">
      <c r="A72" s="10">
        <f>RIGHT(YEAR(C72),2)&amp;"년 "&amp;MONTH(C72)&amp;"월"</f>
        <v/>
      </c>
      <c r="B72" s="10">
        <f>VLOOKUP(WEEKDAY(C72,2),참조!$A$1:$B$10,2,)</f>
        <v/>
      </c>
      <c r="C72" s="14" t="n">
        <v>45960</v>
      </c>
      <c r="D72" s="14" t="inlineStr">
        <is>
          <t>입금</t>
        </is>
      </c>
      <c r="E72" s="14" t="inlineStr">
        <is>
          <t>이자</t>
        </is>
      </c>
      <c r="F72" s="120" t="n"/>
      <c r="G72" s="120" t="n">
        <v>332</v>
      </c>
      <c r="H72" s="121">
        <f>G72-F72</f>
        <v/>
      </c>
      <c r="I72" s="16" t="inlineStr">
        <is>
          <t>월간이자_잔액맞추기용</t>
        </is>
      </c>
    </row>
    <row r="73">
      <c r="A73" s="10">
        <f>RIGHT(YEAR(C73),2)&amp;"년 "&amp;MONTH(C73)&amp;"월"</f>
        <v/>
      </c>
      <c r="B73" s="10">
        <f>VLOOKUP(WEEKDAY(C73,2),참조!$A$1:$B$10,2,)</f>
        <v/>
      </c>
      <c r="C73" s="14" t="n">
        <v>45962</v>
      </c>
      <c r="D73" s="14" t="inlineStr">
        <is>
          <t>입금</t>
        </is>
      </c>
      <c r="E73" s="14" t="inlineStr">
        <is>
          <t>회비</t>
        </is>
      </c>
      <c r="F73" s="120" t="n"/>
      <c r="G73" s="120">
        <f>SUMIFS(입금현황!$Y:$Y,입금현황!$A:$A,원장!$A73)</f>
        <v/>
      </c>
      <c r="H73" s="121">
        <f>G73-F73</f>
        <v/>
      </c>
      <c r="I73" s="16" t="inlineStr">
        <is>
          <t>월간회비납부</t>
        </is>
      </c>
    </row>
    <row r="74">
      <c r="A74" s="10">
        <f>RIGHT(YEAR(C74),2)&amp;"년 "&amp;MONTH(C74)&amp;"월"</f>
        <v/>
      </c>
      <c r="B74" s="10">
        <f>VLOOKUP(WEEKDAY(C74,2),참조!$A$1:$B$10,2,)</f>
        <v/>
      </c>
      <c r="C74" s="14" t="n">
        <v>45964</v>
      </c>
      <c r="D74" s="14" t="inlineStr">
        <is>
          <t>출금</t>
        </is>
      </c>
      <c r="E74" s="14" t="inlineStr">
        <is>
          <t>모임비</t>
        </is>
      </c>
      <c r="F74" s="120" t="n">
        <v>150000</v>
      </c>
      <c r="G74" s="120" t="n"/>
      <c r="H74" s="121">
        <f>G74-F74</f>
        <v/>
      </c>
      <c r="I74" s="16" t="inlineStr">
        <is>
          <t>이대로</t>
        </is>
      </c>
    </row>
    <row r="75">
      <c r="A75" s="10">
        <f>RIGHT(YEAR(C75),2)&amp;"년 "&amp;MONTH(C75)&amp;"월"</f>
        <v/>
      </c>
      <c r="B75" s="10">
        <f>VLOOKUP(WEEKDAY(C75,2),참조!$A$1:$B$10,2,)</f>
        <v/>
      </c>
      <c r="C75" s="14" t="n">
        <v>45984</v>
      </c>
      <c r="D75" s="14" t="inlineStr">
        <is>
          <t>출금</t>
        </is>
      </c>
      <c r="E75" s="14" t="inlineStr">
        <is>
          <t>모임비</t>
        </is>
      </c>
      <c r="F75" s="120" t="n">
        <v>1494400</v>
      </c>
      <c r="G75" s="120" t="n"/>
      <c r="H75" s="121">
        <f>G75-F75</f>
        <v/>
      </c>
      <c r="I75" s="16" t="inlineStr">
        <is>
          <t>흑우정 강남본점, 박준하</t>
        </is>
      </c>
    </row>
    <row r="76">
      <c r="A76" s="10">
        <f>RIGHT(YEAR(C76),2)&amp;"년 "&amp;MONTH(C76)&amp;"월"</f>
        <v/>
      </c>
      <c r="B76" s="10">
        <f>VLOOKUP(WEEKDAY(C76,2),참조!$A$1:$B$10,2,)</f>
        <v/>
      </c>
      <c r="C76" s="14" t="n">
        <v>45991</v>
      </c>
      <c r="D76" s="14" t="inlineStr">
        <is>
          <t>입금</t>
        </is>
      </c>
      <c r="E76" s="14" t="inlineStr">
        <is>
          <t>이자</t>
        </is>
      </c>
      <c r="F76" s="120" t="n"/>
      <c r="G76" s="120" t="n">
        <v>736</v>
      </c>
      <c r="H76" s="121">
        <f>G76-F76</f>
        <v/>
      </c>
      <c r="I76" s="16" t="inlineStr">
        <is>
          <t>월간이자_잔액맞추기용</t>
        </is>
      </c>
    </row>
    <row r="77">
      <c r="A77" s="10">
        <f>RIGHT(YEAR(C77),2)&amp;"년 "&amp;MONTH(C77)&amp;"월"</f>
        <v/>
      </c>
      <c r="B77" s="10">
        <f>VLOOKUP(WEEKDAY(C77,2),참조!$A$1:$B$10,2,)</f>
        <v/>
      </c>
      <c r="C77" s="14" t="n">
        <v>45992</v>
      </c>
      <c r="D77" s="14" t="inlineStr">
        <is>
          <t>입금</t>
        </is>
      </c>
      <c r="E77" s="14" t="inlineStr">
        <is>
          <t>회비</t>
        </is>
      </c>
      <c r="F77" s="120" t="n"/>
      <c r="G77" s="120">
        <f>SUMIFS(입금현황!$Y:$Y,입금현황!$A:$A,원장!$A77)</f>
        <v/>
      </c>
      <c r="H77" s="121">
        <f>G77-F77</f>
        <v/>
      </c>
      <c r="I77" s="16" t="inlineStr">
        <is>
          <t>월간회비납부</t>
        </is>
      </c>
    </row>
    <row r="78">
      <c r="A78" s="10">
        <f>RIGHT(YEAR(C78),2)&amp;"년 "&amp;MONTH(C78)&amp;"월"</f>
        <v/>
      </c>
      <c r="B78" s="10">
        <f>VLOOKUP(WEEKDAY(C78,2),참조!$A$1:$B$10,2,)</f>
        <v/>
      </c>
      <c r="C78" s="14" t="n">
        <v>45992</v>
      </c>
      <c r="D78" s="14" t="inlineStr">
        <is>
          <t>출금</t>
        </is>
      </c>
      <c r="E78" s="14" t="inlineStr">
        <is>
          <t>경품비</t>
        </is>
      </c>
      <c r="F78" s="120" t="n">
        <v>1587300</v>
      </c>
      <c r="G78" s="120" t="n"/>
      <c r="H78" s="121">
        <f>G78-F78</f>
        <v/>
      </c>
      <c r="I78" s="16" t="inlineStr">
        <is>
          <t>경품비</t>
        </is>
      </c>
    </row>
    <row r="79">
      <c r="A79" s="10">
        <f>RIGHT(YEAR(C79),2)&amp;"년 "&amp;MONTH(C79)&amp;"월"</f>
        <v/>
      </c>
      <c r="B79" s="10">
        <f>VLOOKUP(WEEKDAY(C79,2),참조!$A$1:$B$10,2,)</f>
        <v/>
      </c>
      <c r="C79" s="14" t="n">
        <v>45992</v>
      </c>
      <c r="D79" s="14" t="inlineStr">
        <is>
          <t>출금</t>
        </is>
      </c>
      <c r="E79" s="14" t="inlineStr">
        <is>
          <t>모임비</t>
        </is>
      </c>
      <c r="F79" s="120" t="n">
        <v>250000</v>
      </c>
      <c r="G79" s="120" t="n"/>
      <c r="H79" s="121">
        <f>G79-F79</f>
        <v/>
      </c>
      <c r="I79" s="16" t="inlineStr">
        <is>
          <t>사진사 섭외</t>
        </is>
      </c>
    </row>
    <row r="80">
      <c r="A80" s="10">
        <f>RIGHT(YEAR(C80),2)&amp;"년 "&amp;MONTH(C80)&amp;"월"</f>
        <v/>
      </c>
      <c r="B80" s="10">
        <f>VLOOKUP(WEEKDAY(C80,2),참조!$A$1:$B$10,2,)</f>
        <v/>
      </c>
      <c r="C80" s="14" t="n">
        <v>46005</v>
      </c>
      <c r="D80" s="14" t="inlineStr">
        <is>
          <t>출금</t>
        </is>
      </c>
      <c r="E80" s="14" t="inlineStr">
        <is>
          <t>모임비</t>
        </is>
      </c>
      <c r="F80" s="120" t="n">
        <v>2231800</v>
      </c>
      <c r="G80" s="120" t="n"/>
      <c r="H80" s="121">
        <f>G80-F80</f>
        <v/>
      </c>
      <c r="I80" s="16" t="inlineStr">
        <is>
          <t>이랜드파크 켄싱</t>
        </is>
      </c>
    </row>
    <row r="81">
      <c r="A81" s="10">
        <f>RIGHT(YEAR(C81),2)&amp;"년 "&amp;MONTH(C81)&amp;"월"</f>
        <v/>
      </c>
      <c r="B81" s="10">
        <f>VLOOKUP(WEEKDAY(C81,2),참조!$A$1:$B$10,2,)</f>
        <v/>
      </c>
      <c r="C81" s="14" t="n">
        <v>46006</v>
      </c>
      <c r="D81" s="14" t="inlineStr">
        <is>
          <t>출금</t>
        </is>
      </c>
      <c r="E81" s="14" t="inlineStr">
        <is>
          <t>경조사비</t>
        </is>
      </c>
      <c r="F81" s="120" t="n">
        <v>1000000</v>
      </c>
      <c r="G81" s="120" t="n"/>
      <c r="H81" s="121">
        <f>G81-F81</f>
        <v/>
      </c>
      <c r="I81" s="16" t="inlineStr">
        <is>
          <t>강명신 이체_다수 경조사비</t>
        </is>
      </c>
    </row>
    <row r="82">
      <c r="A82" s="10">
        <f>RIGHT(YEAR(C82),2)&amp;"년 "&amp;MONTH(C82)&amp;"월"</f>
        <v/>
      </c>
      <c r="B82" s="10">
        <f>VLOOKUP(WEEKDAY(C82,2),참조!$A$1:$B$10,2,)</f>
        <v/>
      </c>
      <c r="C82" s="14" t="n">
        <v>46015</v>
      </c>
      <c r="D82" s="14" t="inlineStr">
        <is>
          <t>출금</t>
        </is>
      </c>
      <c r="E82" s="14" t="inlineStr">
        <is>
          <t>경조사비</t>
        </is>
      </c>
      <c r="F82" s="120" t="n">
        <v>100000</v>
      </c>
      <c r="G82" s="120" t="n"/>
      <c r="H82" s="121">
        <f>G82-F82</f>
        <v/>
      </c>
      <c r="I82" s="16" t="inlineStr">
        <is>
          <t>강명신 이체_</t>
        </is>
      </c>
    </row>
    <row r="83">
      <c r="A83" s="10">
        <f>RIGHT(YEAR(C83),2)&amp;"년 "&amp;MONTH(C83)&amp;"월"</f>
        <v/>
      </c>
      <c r="B83" s="10">
        <f>VLOOKUP(WEEKDAY(C83,2),참조!$A$1:$B$10,2,)</f>
        <v/>
      </c>
      <c r="C83" s="14" t="n">
        <v>46021</v>
      </c>
      <c r="D83" s="14" t="inlineStr">
        <is>
          <t>입금</t>
        </is>
      </c>
      <c r="E83" s="14" t="inlineStr">
        <is>
          <t>이자</t>
        </is>
      </c>
      <c r="F83" s="120" t="n"/>
      <c r="G83" s="120" t="n">
        <v>3179</v>
      </c>
      <c r="H83" s="121">
        <f>G83-F83</f>
        <v/>
      </c>
      <c r="I83" s="16" t="inlineStr">
        <is>
          <t>월간이자_잔액맞추기용</t>
        </is>
      </c>
    </row>
    <row r="84">
      <c r="A84" s="10">
        <f>RIGHT(YEAR(C84),2)&amp;"년 "&amp;MONTH(C84)&amp;"월"</f>
        <v/>
      </c>
      <c r="B84" s="10">
        <f>VLOOKUP(WEEKDAY(C84,2),참조!$A$1:$B$10,2,)</f>
        <v/>
      </c>
      <c r="C84" s="14" t="n">
        <v>46023</v>
      </c>
      <c r="D84" s="14" t="inlineStr">
        <is>
          <t>입금</t>
        </is>
      </c>
      <c r="E84" s="14" t="inlineStr">
        <is>
          <t>회비</t>
        </is>
      </c>
      <c r="F84" s="120" t="n"/>
      <c r="G84" s="120">
        <f>SUMIFS(입금현황!$Y:$Y,입금현황!$A:$A,원장!$A84)</f>
        <v/>
      </c>
      <c r="H84" s="121">
        <f>G84-F84</f>
        <v/>
      </c>
      <c r="I84" s="16" t="inlineStr">
        <is>
          <t>월간회비납부</t>
        </is>
      </c>
    </row>
    <row r="85">
      <c r="A85" s="10">
        <f>RIGHT(YEAR(C85),2)&amp;"년 "&amp;MONTH(C85)&amp;"월"</f>
        <v/>
      </c>
      <c r="B85" s="10">
        <f>VLOOKUP(WEEKDAY(C85,2),참조!$A$1:$B$10,2,)</f>
        <v/>
      </c>
      <c r="C85" s="14" t="n">
        <v>46047</v>
      </c>
      <c r="D85" s="14" t="inlineStr">
        <is>
          <t>입금</t>
        </is>
      </c>
      <c r="E85" s="14" t="inlineStr">
        <is>
          <t>지각비</t>
        </is>
      </c>
      <c r="F85" s="120" t="n"/>
      <c r="G85" s="120" t="n">
        <v>50000</v>
      </c>
      <c r="H85" s="121">
        <f>G85-F85</f>
        <v/>
      </c>
      <c r="I85" s="16" t="inlineStr">
        <is>
          <t>서정권, 지각비</t>
        </is>
      </c>
    </row>
    <row r="86">
      <c r="A86" s="10">
        <f>RIGHT(YEAR(C86),2)&amp;"년 "&amp;MONTH(C86)&amp;"월"</f>
        <v/>
      </c>
      <c r="B86" s="10">
        <f>VLOOKUP(WEEKDAY(C86,2),참조!$A$1:$B$10,2,)</f>
        <v/>
      </c>
      <c r="C86" s="14" t="n">
        <v>46048</v>
      </c>
      <c r="D86" s="14" t="inlineStr">
        <is>
          <t>출금</t>
        </is>
      </c>
      <c r="E86" s="14" t="inlineStr">
        <is>
          <t>모임비</t>
        </is>
      </c>
      <c r="F86" s="120" t="n">
        <v>850000</v>
      </c>
      <c r="G86" s="120" t="n"/>
      <c r="H86" s="121">
        <f>G86-F86</f>
        <v/>
      </c>
      <c r="I86" s="16" t="inlineStr">
        <is>
          <t>조현민</t>
        </is>
      </c>
    </row>
    <row r="87">
      <c r="A87" s="10">
        <f>RIGHT(YEAR(C87),2)&amp;"년 "&amp;MONTH(C87)&amp;"월"</f>
        <v/>
      </c>
      <c r="B87" s="10">
        <f>VLOOKUP(WEEKDAY(C87,2),참조!$A$1:$B$10,2,)</f>
        <v/>
      </c>
      <c r="C87" s="14" t="n">
        <v>46053</v>
      </c>
      <c r="D87" s="14" t="inlineStr">
        <is>
          <t>입금</t>
        </is>
      </c>
      <c r="E87" s="14" t="inlineStr">
        <is>
          <t>이자</t>
        </is>
      </c>
      <c r="F87" s="120" t="n"/>
      <c r="G87" s="120" t="n">
        <v>166</v>
      </c>
      <c r="H87" s="121">
        <f>G87-F87</f>
        <v/>
      </c>
      <c r="I87" s="16" t="inlineStr">
        <is>
          <t>월간이자_잔액맞추기용</t>
        </is>
      </c>
    </row>
    <row r="88">
      <c r="A88" s="10">
        <f>RIGHT(YEAR(C88),2)&amp;"년 "&amp;MONTH(C88)&amp;"월"</f>
        <v/>
      </c>
      <c r="B88" s="10">
        <f>VLOOKUP(WEEKDAY(C88,2),참조!$A$1:$B$10,2,)</f>
        <v/>
      </c>
      <c r="C88" s="14" t="n">
        <v>46054</v>
      </c>
      <c r="D88" s="14" t="inlineStr">
        <is>
          <t>입금</t>
        </is>
      </c>
      <c r="E88" s="14" t="inlineStr">
        <is>
          <t>회비</t>
        </is>
      </c>
      <c r="F88" s="120" t="n"/>
      <c r="G88" s="120">
        <f>SUMIFS(입금현황!$Y:$Y,입금현황!$A:$A,원장!$A88)</f>
        <v/>
      </c>
      <c r="H88" s="121">
        <f>G88-F88</f>
        <v/>
      </c>
      <c r="I88" s="16" t="inlineStr">
        <is>
          <t>월간회비납부</t>
        </is>
      </c>
    </row>
    <row r="89">
      <c r="A89" s="10">
        <f>RIGHT(YEAR(C89),2)&amp;"년 "&amp;MONTH(C89)&amp;"월"</f>
        <v/>
      </c>
      <c r="B89" s="10">
        <f>VLOOKUP(WEEKDAY(C89,2),참조!$A$1:$B$10,2,)</f>
        <v/>
      </c>
      <c r="C89" s="14" t="n">
        <v>46065</v>
      </c>
      <c r="D89" s="14" t="inlineStr">
        <is>
          <t>출금</t>
        </is>
      </c>
      <c r="E89" s="14" t="inlineStr">
        <is>
          <t>경조사비</t>
        </is>
      </c>
      <c r="F89" s="120" t="n">
        <v>197100</v>
      </c>
      <c r="G89" s="120" t="n"/>
      <c r="H89" s="121">
        <f>G89-F89</f>
        <v/>
      </c>
      <c r="I89" s="16" t="inlineStr">
        <is>
          <t>조현민 이체</t>
        </is>
      </c>
    </row>
    <row r="90">
      <c r="A90" s="10">
        <f>RIGHT(YEAR(C90),2)&amp;"년 "&amp;MONTH(C90)&amp;"월"</f>
        <v/>
      </c>
      <c r="B90" s="10">
        <f>VLOOKUP(WEEKDAY(C90,2),참조!$A$1:$B$10,2,)</f>
        <v/>
      </c>
      <c r="C90" s="14" t="n">
        <v>46078</v>
      </c>
      <c r="D90" s="14" t="inlineStr">
        <is>
          <t>출금</t>
        </is>
      </c>
      <c r="E90" s="14" t="inlineStr">
        <is>
          <t>모임비</t>
        </is>
      </c>
      <c r="F90" s="120" t="n">
        <v>1110000</v>
      </c>
      <c r="G90" s="120" t="n"/>
      <c r="H90" s="121">
        <f>G90-F90</f>
        <v/>
      </c>
      <c r="I90" s="16" t="inlineStr">
        <is>
          <t>서정권</t>
        </is>
      </c>
    </row>
    <row r="91">
      <c r="A91" s="10">
        <f>RIGHT(YEAR(C91),2)&amp;"년 "&amp;MONTH(C91)&amp;"월"</f>
        <v/>
      </c>
      <c r="B91" s="10">
        <f>VLOOKUP(WEEKDAY(C91,2),참조!$A$1:$B$10,2,)</f>
        <v/>
      </c>
      <c r="C91" s="14" t="n">
        <v>46082</v>
      </c>
      <c r="D91" s="14" t="inlineStr">
        <is>
          <t>입금</t>
        </is>
      </c>
      <c r="E91" s="14" t="inlineStr">
        <is>
          <t>회비</t>
        </is>
      </c>
      <c r="F91" s="120" t="n"/>
      <c r="G91" s="120">
        <f>SUMIFS(입금현황!$Y:$Y,입금현황!$A:$A,원장!$A91)</f>
        <v/>
      </c>
      <c r="H91" s="121">
        <f>G91-F91</f>
        <v/>
      </c>
      <c r="I91" s="16" t="inlineStr">
        <is>
          <t>월간회비납부</t>
        </is>
      </c>
    </row>
    <row r="92">
      <c r="A92" s="10">
        <f>RIGHT(YEAR(C92),2)&amp;"년 "&amp;MONTH(C92)&amp;"월"</f>
        <v/>
      </c>
      <c r="B92" s="10">
        <f>VLOOKUP(WEEKDAY(C92,2),참조!$A$1:$B$10,2,)</f>
        <v/>
      </c>
      <c r="C92" s="14" t="n">
        <v>46110</v>
      </c>
      <c r="D92" s="14" t="inlineStr">
        <is>
          <t>입금</t>
        </is>
      </c>
      <c r="E92" s="14" t="inlineStr">
        <is>
          <t>지각비</t>
        </is>
      </c>
      <c r="F92" s="120" t="n"/>
      <c r="G92" s="120" t="n">
        <v>50000</v>
      </c>
      <c r="H92" s="121">
        <f>G92-F92</f>
        <v/>
      </c>
      <c r="I92" s="16" t="inlineStr">
        <is>
          <t>류성준, 지각비</t>
        </is>
      </c>
    </row>
    <row r="93">
      <c r="A93" s="10">
        <f>RIGHT(YEAR(C93),2)&amp;"년 "&amp;MONTH(C93)&amp;"월"</f>
        <v/>
      </c>
      <c r="B93" s="10">
        <f>VLOOKUP(WEEKDAY(C93,2),참조!$A$1:$B$10,2,)</f>
        <v/>
      </c>
      <c r="C93" s="14" t="n">
        <v>46110</v>
      </c>
      <c r="D93" s="14" t="inlineStr">
        <is>
          <t>입금</t>
        </is>
      </c>
      <c r="E93" s="14" t="inlineStr">
        <is>
          <t>지각비</t>
        </is>
      </c>
      <c r="F93" s="120" t="n"/>
      <c r="G93" s="120" t="n">
        <v>50000</v>
      </c>
      <c r="H93" s="121">
        <f>G93-F93</f>
        <v/>
      </c>
      <c r="I93" s="16" t="inlineStr">
        <is>
          <t>황인호, 지각비</t>
        </is>
      </c>
    </row>
    <row r="94">
      <c r="A94" s="10">
        <f>RIGHT(YEAR(C94),2)&amp;"년 "&amp;MONTH(C94)&amp;"월"</f>
        <v/>
      </c>
      <c r="B94" s="10">
        <f>VLOOKUP(WEEKDAY(C94,2),참조!$A$1:$B$10,2,)</f>
        <v/>
      </c>
      <c r="C94" s="14" t="n">
        <v>46110</v>
      </c>
      <c r="D94" s="14" t="inlineStr">
        <is>
          <t>입금</t>
        </is>
      </c>
      <c r="E94" s="14" t="inlineStr">
        <is>
          <t>지각비</t>
        </is>
      </c>
      <c r="F94" s="120" t="n"/>
      <c r="G94" s="120" t="n">
        <v>50000</v>
      </c>
      <c r="H94" s="121">
        <f>G94-F94</f>
        <v/>
      </c>
      <c r="I94" s="16" t="inlineStr">
        <is>
          <t>박승현, 지각비</t>
        </is>
      </c>
    </row>
    <row r="95">
      <c r="A95" s="10">
        <f>RIGHT(YEAR(C95),2)&amp;"년 "&amp;MONTH(C95)&amp;"월"</f>
        <v/>
      </c>
      <c r="B95" s="10">
        <f>VLOOKUP(WEEKDAY(C95,2),참조!$A$1:$B$10,2,)</f>
        <v/>
      </c>
      <c r="C95" s="14" t="n">
        <v>46110</v>
      </c>
      <c r="D95" s="14" t="inlineStr">
        <is>
          <t>출금</t>
        </is>
      </c>
      <c r="E95" s="14" t="inlineStr">
        <is>
          <t>모임비</t>
        </is>
      </c>
      <c r="F95" s="120" t="n">
        <v>630000</v>
      </c>
      <c r="G95" s="120" t="n"/>
      <c r="H95" s="121">
        <f>G95-F95</f>
        <v/>
      </c>
      <c r="I95" s="16" t="inlineStr">
        <is>
          <t>권한해</t>
        </is>
      </c>
    </row>
    <row r="96">
      <c r="A96" s="10">
        <f>RIGHT(YEAR(C96),2)&amp;"년 "&amp;MONTH(C96)&amp;"월"</f>
        <v/>
      </c>
      <c r="B96" s="10">
        <f>VLOOKUP(WEEKDAY(C96,2),참조!$A$1:$B$10,2,)</f>
        <v/>
      </c>
      <c r="C96" s="14" t="n">
        <v>46110</v>
      </c>
      <c r="D96" s="14" t="inlineStr">
        <is>
          <t>입금</t>
        </is>
      </c>
      <c r="E96" s="14" t="inlineStr">
        <is>
          <t>이자</t>
        </is>
      </c>
      <c r="F96" s="120" t="n"/>
      <c r="G96" s="120" t="n">
        <v>568</v>
      </c>
      <c r="H96" s="121">
        <f>G96-F96</f>
        <v/>
      </c>
      <c r="I96" s="16" t="inlineStr">
        <is>
          <t>월간이자_잔액맞추기용</t>
        </is>
      </c>
    </row>
    <row r="97">
      <c r="A97" s="10">
        <f>RIGHT(YEAR(C97),2)&amp;"년 "&amp;MONTH(C97)&amp;"월"</f>
        <v/>
      </c>
      <c r="B97" s="10">
        <f>VLOOKUP(WEEKDAY(C97,2),참조!$A$1:$B$10,2,)</f>
        <v/>
      </c>
      <c r="C97" s="14" t="n">
        <v>46113</v>
      </c>
      <c r="D97" s="14" t="inlineStr">
        <is>
          <t>입금</t>
        </is>
      </c>
      <c r="E97" s="14" t="inlineStr">
        <is>
          <t>회비</t>
        </is>
      </c>
      <c r="F97" s="120" t="n"/>
      <c r="G97" s="120">
        <f>SUMIFS(입금현황!$Y:$Y,입금현황!$A:$A,원장!$A97)</f>
        <v/>
      </c>
      <c r="H97" s="121">
        <f>G97-F97</f>
        <v/>
      </c>
      <c r="I97" s="16" t="inlineStr">
        <is>
          <t>월간회비납부</t>
        </is>
      </c>
    </row>
    <row r="98">
      <c r="A98" s="10">
        <f>RIGHT(YEAR(C98),2)&amp;"년 "&amp;MONTH(C98)&amp;"월"</f>
        <v/>
      </c>
      <c r="B98" s="10">
        <f>VLOOKUP(WEEKDAY(C98,2),참조!$A$1:$B$10,2,)</f>
        <v/>
      </c>
      <c r="C98" s="14" t="n">
        <v>46121</v>
      </c>
      <c r="D98" s="14" t="inlineStr">
        <is>
          <t>출금</t>
        </is>
      </c>
      <c r="E98" s="14" t="inlineStr">
        <is>
          <t>경조사비</t>
        </is>
      </c>
      <c r="F98" s="120" t="n">
        <v>49000</v>
      </c>
      <c r="G98" s="120" t="n"/>
      <c r="H98" s="121">
        <f>G98-F98</f>
        <v/>
      </c>
      <c r="I98" s="16" t="inlineStr">
        <is>
          <t>한해 개업 화환</t>
        </is>
      </c>
    </row>
    <row r="99">
      <c r="A99" s="10">
        <f>RIGHT(YEAR(C99),2)&amp;"년 "&amp;MONTH(C99)&amp;"월"</f>
        <v/>
      </c>
      <c r="B99" s="10">
        <f>VLOOKUP(WEEKDAY(C99,2),참조!$A$1:$B$10,2,)</f>
        <v/>
      </c>
      <c r="C99" s="14" t="n">
        <v>46139</v>
      </c>
      <c r="D99" s="14" t="inlineStr">
        <is>
          <t>출금</t>
        </is>
      </c>
      <c r="E99" s="14" t="inlineStr">
        <is>
          <t>모임비</t>
        </is>
      </c>
      <c r="F99" s="120" t="n">
        <v>366650</v>
      </c>
      <c r="G99" s="120" t="n"/>
      <c r="H99" s="121">
        <f>G99-F99</f>
        <v/>
      </c>
      <c r="I99" s="16" t="inlineStr">
        <is>
          <t>김성환, 음식배달</t>
        </is>
      </c>
    </row>
    <row r="100">
      <c r="A100" s="10">
        <f>RIGHT(YEAR(C100),2)&amp;"년 "&amp;MONTH(C100)&amp;"월"</f>
        <v/>
      </c>
      <c r="B100" s="10">
        <f>VLOOKUP(WEEKDAY(C100,2),참조!$A$1:$B$10,2,)</f>
        <v/>
      </c>
      <c r="C100" s="14" t="n">
        <v>46139</v>
      </c>
      <c r="D100" s="14" t="inlineStr">
        <is>
          <t>출금</t>
        </is>
      </c>
      <c r="E100" s="14" t="inlineStr">
        <is>
          <t>모임비</t>
        </is>
      </c>
      <c r="F100" s="120" t="n">
        <v>361900</v>
      </c>
      <c r="G100" s="120" t="n"/>
      <c r="H100" s="121">
        <f>G100-F100</f>
        <v/>
      </c>
      <c r="I100" s="16" t="inlineStr">
        <is>
          <t>김성환, 모드파티</t>
        </is>
      </c>
    </row>
    <row r="101">
      <c r="A101" s="10">
        <f>RIGHT(YEAR(C101),2)&amp;"년 "&amp;MONTH(C101)&amp;"월"</f>
        <v/>
      </c>
      <c r="B101" s="10">
        <f>VLOOKUP(WEEKDAY(C101,2),참조!$A$1:$B$10,2,)</f>
        <v/>
      </c>
      <c r="C101" s="14" t="n">
        <v>46142</v>
      </c>
      <c r="D101" s="14" t="inlineStr">
        <is>
          <t>입금</t>
        </is>
      </c>
      <c r="E101" s="14" t="inlineStr">
        <is>
          <t>이자</t>
        </is>
      </c>
      <c r="F101" s="120" t="n"/>
      <c r="G101" s="120" t="n">
        <v>380</v>
      </c>
      <c r="H101" s="121">
        <f>G101-F101</f>
        <v/>
      </c>
      <c r="I101" s="16" t="inlineStr">
        <is>
          <t>월간이자_잔액맞추기용</t>
        </is>
      </c>
    </row>
    <row r="102">
      <c r="A102" s="10">
        <f>RIGHT(YEAR(C102),2)&amp;"년 "&amp;MONTH(C102)&amp;"월"</f>
        <v/>
      </c>
      <c r="B102" s="10">
        <f>VLOOKUP(WEEKDAY(C102,2),참조!$A$1:$B$10,2,)</f>
        <v/>
      </c>
      <c r="C102" s="14" t="n">
        <v>46143</v>
      </c>
      <c r="D102" s="14" t="inlineStr">
        <is>
          <t>입금</t>
        </is>
      </c>
      <c r="E102" s="14" t="inlineStr">
        <is>
          <t>회비</t>
        </is>
      </c>
      <c r="F102" s="120" t="n"/>
      <c r="G102" s="120">
        <f>SUMIFS(입금현황!$Y:$Y,입금현황!$A:$A,원장!$A102)</f>
        <v/>
      </c>
      <c r="H102" s="121">
        <f>G102-F102</f>
        <v/>
      </c>
      <c r="I102" s="16" t="inlineStr">
        <is>
          <t>월간회비납부</t>
        </is>
      </c>
    </row>
    <row r="103">
      <c r="A103" s="10">
        <f>RIGHT(YEAR(C103),2)&amp;"년 "&amp;MONTH(C103)&amp;"월"</f>
        <v/>
      </c>
      <c r="B103" s="10">
        <f>VLOOKUP(WEEKDAY(C103,2),참조!$A$1:$B$10,2,)</f>
        <v/>
      </c>
      <c r="C103" s="14" t="n">
        <v>46173</v>
      </c>
      <c r="D103" s="14" t="inlineStr">
        <is>
          <t>입금</t>
        </is>
      </c>
      <c r="E103" s="14" t="inlineStr">
        <is>
          <t>이자</t>
        </is>
      </c>
      <c r="F103" s="120" t="n"/>
      <c r="G103" s="120" t="n">
        <v>425</v>
      </c>
      <c r="H103" s="121">
        <f>G103-F103</f>
        <v/>
      </c>
      <c r="I103" s="16" t="inlineStr">
        <is>
          <t>월간이자_잔액맞추기용</t>
        </is>
      </c>
    </row>
    <row r="104">
      <c r="A104" s="10">
        <f>RIGHT(YEAR(C104),2)&amp;"년 "&amp;MONTH(C104)&amp;"월"</f>
        <v/>
      </c>
      <c r="B104" s="10">
        <f>VLOOKUP(WEEKDAY(C104,2),참조!$A$1:$B$10,2,)</f>
        <v/>
      </c>
      <c r="C104" s="14" t="n">
        <v>46159</v>
      </c>
      <c r="D104" s="14" t="inlineStr">
        <is>
          <t>출금</t>
        </is>
      </c>
      <c r="E104" s="14" t="inlineStr">
        <is>
          <t>모임비</t>
        </is>
      </c>
      <c r="F104" s="120">
        <f>875000-590000</f>
        <v/>
      </c>
      <c r="G104" s="120" t="n"/>
      <c r="H104" s="121">
        <f>G104-F104</f>
        <v/>
      </c>
      <c r="I104" s="16" t="inlineStr">
        <is>
          <t>옥지엽, 공간대여</t>
        </is>
      </c>
    </row>
    <row r="105">
      <c r="A105" s="10">
        <f>RIGHT(YEAR(C105),2)&amp;"년 "&amp;MONTH(C105)&amp;"월"</f>
        <v/>
      </c>
      <c r="B105" s="10">
        <f>VLOOKUP(WEEKDAY(C105,2),참조!$A$1:$B$10,2,)</f>
        <v/>
      </c>
      <c r="C105" s="14" t="n">
        <v>46159</v>
      </c>
      <c r="D105" s="14" t="inlineStr">
        <is>
          <t>출금</t>
        </is>
      </c>
      <c r="E105" s="14" t="inlineStr">
        <is>
          <t>강연비</t>
        </is>
      </c>
      <c r="F105" s="120" t="n">
        <v>590000</v>
      </c>
      <c r="G105" s="120" t="n"/>
      <c r="H105" s="121">
        <f>G105-F105</f>
        <v/>
      </c>
      <c r="I105" s="16" t="inlineStr">
        <is>
          <t>옥지엽, 강연비</t>
        </is>
      </c>
    </row>
    <row r="106">
      <c r="A106" s="10">
        <f>RIGHT(YEAR(C106),2)&amp;"년 "&amp;MONTH(C106)&amp;"월"</f>
        <v/>
      </c>
      <c r="B106" s="10">
        <f>VLOOKUP(WEEKDAY(C106,2),참조!$A$1:$B$10,2,)</f>
        <v/>
      </c>
      <c r="C106" s="14" t="n">
        <v>46159</v>
      </c>
      <c r="D106" s="14" t="inlineStr">
        <is>
          <t>출금</t>
        </is>
      </c>
      <c r="E106" s="14" t="inlineStr">
        <is>
          <t>강연비</t>
        </is>
      </c>
      <c r="F106" s="120" t="n">
        <v>274400</v>
      </c>
      <c r="G106" s="120" t="n"/>
      <c r="H106" s="121">
        <f>G106-F106</f>
        <v/>
      </c>
      <c r="I106" s="16" t="inlineStr">
        <is>
          <t>옥지엽, 음식값</t>
        </is>
      </c>
    </row>
    <row r="107">
      <c r="A107" s="10">
        <f>RIGHT(YEAR(C107),2)&amp;"년 "&amp;MONTH(C107)&amp;"월"</f>
        <v/>
      </c>
      <c r="B107" s="10">
        <f>VLOOKUP(WEEKDAY(C107,2),참조!$A$1:$B$10,2,)</f>
        <v/>
      </c>
      <c r="C107" s="14" t="n">
        <v>46159</v>
      </c>
      <c r="D107" s="14" t="inlineStr">
        <is>
          <t>출금</t>
        </is>
      </c>
      <c r="E107" s="14" t="inlineStr">
        <is>
          <t>경조사비</t>
        </is>
      </c>
      <c r="F107" s="120" t="n">
        <v>1000000</v>
      </c>
      <c r="G107" s="120" t="n"/>
      <c r="H107" s="121">
        <f>G107-F107</f>
        <v/>
      </c>
      <c r="I107" s="16" t="inlineStr">
        <is>
          <t>강명신 축의금</t>
        </is>
      </c>
    </row>
    <row r="108">
      <c r="A108" s="10">
        <f>RIGHT(YEAR(C108),2)&amp;"년 "&amp;MONTH(C108)&amp;"월"</f>
        <v/>
      </c>
      <c r="B108" s="10">
        <f>VLOOKUP(WEEKDAY(C108,2),참조!$A$1:$B$10,2,)</f>
        <v/>
      </c>
      <c r="C108" s="14" t="n">
        <v>46173</v>
      </c>
      <c r="D108" s="14" t="inlineStr">
        <is>
          <t>출금</t>
        </is>
      </c>
      <c r="E108" s="14" t="inlineStr">
        <is>
          <t>경조사비</t>
        </is>
      </c>
      <c r="F108" s="120" t="n">
        <v>1000000</v>
      </c>
      <c r="G108" s="120" t="n"/>
      <c r="H108" s="121">
        <f>G108-F108</f>
        <v/>
      </c>
      <c r="I108" s="16" t="inlineStr">
        <is>
          <t>박승현 축의금</t>
        </is>
      </c>
    </row>
    <row r="109">
      <c r="A109" s="10">
        <f>RIGHT(YEAR(C109),2)&amp;"년 "&amp;MONTH(C109)&amp;"월"</f>
        <v/>
      </c>
      <c r="B109" s="10">
        <f>VLOOKUP(WEEKDAY(C109,2),참조!$A$1:$B$10,2,)</f>
        <v/>
      </c>
      <c r="C109" s="14" t="n">
        <v>46174</v>
      </c>
      <c r="D109" s="14" t="inlineStr">
        <is>
          <t>입금</t>
        </is>
      </c>
      <c r="E109" s="14" t="inlineStr">
        <is>
          <t>회비</t>
        </is>
      </c>
      <c r="F109" s="120" t="n"/>
      <c r="G109" s="120">
        <f>SUMIFS(입금현황!$Y:$Y,입금현황!$A:$A,원장!$A109)</f>
        <v/>
      </c>
      <c r="H109" s="121">
        <f>G109-F109</f>
        <v/>
      </c>
      <c r="I109" s="16" t="inlineStr">
        <is>
          <t>월간회비납부</t>
        </is>
      </c>
    </row>
    <row r="110">
      <c r="A110" s="5">
        <f>RIGHT(YEAR(C110),2)&amp;"년 "&amp;MONTH(C110)&amp;"월"</f>
        <v/>
      </c>
      <c r="B110" s="5">
        <f>VLOOKUP(WEEKDAY(C110,2),참조!$A$1:$B$10,2,)</f>
        <v/>
      </c>
      <c r="C110" s="122" t="n">
        <v>46194</v>
      </c>
      <c r="D110" s="122" t="inlineStr">
        <is>
          <t>출금</t>
        </is>
      </c>
      <c r="E110" s="122" t="inlineStr">
        <is>
          <t>모임비</t>
        </is>
      </c>
      <c r="F110" s="123" t="n">
        <v>904000</v>
      </c>
      <c r="G110" s="123" t="n"/>
      <c r="H110" s="124">
        <f>G110-F110</f>
        <v/>
      </c>
      <c r="I110" s="125" t="inlineStr">
        <is>
          <t>조현민, 모임비 결제</t>
        </is>
      </c>
    </row>
    <row r="111">
      <c r="A111" s="5">
        <f>RIGHT(YEAR(C111),2)&amp;"년 "&amp;MONTH(C111)&amp;"월"</f>
        <v/>
      </c>
      <c r="B111" s="5">
        <f>VLOOKUP(WEEKDAY(C111,2),참조!$A$1:$B$10,2,)</f>
        <v/>
      </c>
      <c r="C111" s="122" t="n">
        <v>46203</v>
      </c>
      <c r="D111" s="122" t="inlineStr">
        <is>
          <t>입금</t>
        </is>
      </c>
      <c r="E111" s="122" t="inlineStr">
        <is>
          <t>이자</t>
        </is>
      </c>
      <c r="F111" s="123" t="n"/>
      <c r="G111" s="123" t="n">
        <v>497</v>
      </c>
      <c r="H111" s="124">
        <f>G111-F111</f>
        <v/>
      </c>
      <c r="I111" s="125" t="inlineStr">
        <is>
          <t>월간이자_잔액맞추기용</t>
        </is>
      </c>
    </row>
    <row r="112">
      <c r="A112" s="10">
        <f>RIGHT(YEAR(C112),2)&amp;"년 "&amp;MONTH(C112)&amp;"월"</f>
        <v/>
      </c>
      <c r="B112" s="10">
        <f>VLOOKUP(WEEKDAY(C112,2),참조!$A$1:$B$10,2,)</f>
        <v/>
      </c>
      <c r="C112" s="14" t="n">
        <v>46204</v>
      </c>
      <c r="D112" s="14" t="inlineStr">
        <is>
          <t>입금</t>
        </is>
      </c>
      <c r="E112" s="14" t="inlineStr">
        <is>
          <t>회비</t>
        </is>
      </c>
      <c r="F112" s="120" t="n"/>
      <c r="G112" s="120">
        <f>SUMIFS(입금현황!$Y:$Y,입금현황!$A:$A,원장!$A112)</f>
        <v/>
      </c>
      <c r="H112" s="121">
        <f>G112-F112</f>
        <v/>
      </c>
      <c r="I112" s="16" t="inlineStr">
        <is>
          <t>월간회비납부</t>
        </is>
      </c>
    </row>
    <row r="113">
      <c r="A113" s="10">
        <f>RIGHT(YEAR(C113),2)&amp;"년 "&amp;MONTH(C113)&amp;"월"</f>
        <v/>
      </c>
      <c r="B113" s="10">
        <f>VLOOKUP(WEEKDAY(C113,2),참조!$A$1:$B$10,2,)</f>
        <v/>
      </c>
      <c r="C113" s="14" t="n">
        <v>46235</v>
      </c>
      <c r="D113" s="14" t="inlineStr">
        <is>
          <t>입금</t>
        </is>
      </c>
      <c r="E113" s="14" t="inlineStr">
        <is>
          <t>회비</t>
        </is>
      </c>
      <c r="F113" s="120" t="n"/>
      <c r="G113" s="120">
        <f>SUMIFS(입금현황!$Y:$Y,입금현황!$A:$A,원장!$A113)</f>
        <v/>
      </c>
      <c r="H113" s="121">
        <f>G113-F113</f>
        <v/>
      </c>
      <c r="I113" s="16" t="inlineStr">
        <is>
          <t>월간회비납부</t>
        </is>
      </c>
    </row>
    <row r="114">
      <c r="A114" s="10">
        <f>RIGHT(YEAR(C114),2)&amp;"년 "&amp;MONTH(C114)&amp;"월"</f>
        <v/>
      </c>
      <c r="B114" s="10">
        <f>VLOOKUP(WEEKDAY(C114,2),참조!$A$1:$B$10,2,)</f>
        <v/>
      </c>
      <c r="C114" s="14" t="n">
        <v>46266</v>
      </c>
      <c r="D114" s="14" t="inlineStr">
        <is>
          <t>입금</t>
        </is>
      </c>
      <c r="E114" s="14" t="inlineStr">
        <is>
          <t>회비</t>
        </is>
      </c>
      <c r="F114" s="120" t="n"/>
      <c r="G114" s="120">
        <f>SUMIFS(입금현황!$Y:$Y,입금현황!$A:$A,원장!$A114)</f>
        <v/>
      </c>
      <c r="H114" s="121">
        <f>G114-F114</f>
        <v/>
      </c>
      <c r="I114" s="16" t="inlineStr">
        <is>
          <t>월간회비납부</t>
        </is>
      </c>
    </row>
    <row r="115">
      <c r="A115" s="10">
        <f>RIGHT(YEAR(C115),2)&amp;"년 "&amp;MONTH(C115)&amp;"월"</f>
        <v/>
      </c>
      <c r="B115" s="10">
        <f>VLOOKUP(WEEKDAY(C115,2),참조!$A$1:$B$10,2,)</f>
        <v/>
      </c>
      <c r="C115" s="14" t="n">
        <v>46296</v>
      </c>
      <c r="D115" s="14" t="inlineStr">
        <is>
          <t>입금</t>
        </is>
      </c>
      <c r="E115" s="14" t="inlineStr">
        <is>
          <t>회비</t>
        </is>
      </c>
      <c r="F115" s="120" t="n"/>
      <c r="G115" s="120">
        <f>SUMIFS(입금현황!$Y:$Y,입금현황!$A:$A,원장!$A115)</f>
        <v/>
      </c>
      <c r="H115" s="121">
        <f>G115-F115</f>
        <v/>
      </c>
      <c r="I115" s="16" t="inlineStr">
        <is>
          <t>월간회비납부</t>
        </is>
      </c>
    </row>
    <row r="116">
      <c r="A116" s="10">
        <f>RIGHT(YEAR(C116),2)&amp;"년 "&amp;MONTH(C116)&amp;"월"</f>
        <v/>
      </c>
      <c r="B116" s="10">
        <f>VLOOKUP(WEEKDAY(C116,2),참조!$A$1:$B$10,2,)</f>
        <v/>
      </c>
      <c r="C116" s="14" t="n">
        <v>46327</v>
      </c>
      <c r="D116" s="14" t="inlineStr">
        <is>
          <t>입금</t>
        </is>
      </c>
      <c r="E116" s="14" t="inlineStr">
        <is>
          <t>회비</t>
        </is>
      </c>
      <c r="F116" s="120" t="n"/>
      <c r="G116" s="120">
        <f>SUMIFS(입금현황!$Y:$Y,입금현황!$A:$A,원장!$A116)</f>
        <v/>
      </c>
      <c r="H116" s="121">
        <f>G116-F116</f>
        <v/>
      </c>
      <c r="I116" s="16" t="inlineStr">
        <is>
          <t>월간회비납부</t>
        </is>
      </c>
    </row>
    <row r="117">
      <c r="A117" s="10">
        <f>RIGHT(YEAR(C117),2)&amp;"년 "&amp;MONTH(C117)&amp;"월"</f>
        <v/>
      </c>
      <c r="B117" s="10">
        <f>VLOOKUP(WEEKDAY(C117,2),참조!$A$1:$B$10,2,)</f>
        <v/>
      </c>
      <c r="C117" s="14" t="n">
        <v>46357</v>
      </c>
      <c r="D117" s="14" t="inlineStr">
        <is>
          <t>입금</t>
        </is>
      </c>
      <c r="E117" s="14" t="inlineStr">
        <is>
          <t>회비</t>
        </is>
      </c>
      <c r="F117" s="120" t="n"/>
      <c r="G117" s="120">
        <f>SUMIFS(입금현황!$Y:$Y,입금현황!$A:$A,원장!$A117)</f>
        <v/>
      </c>
      <c r="H117" s="121">
        <f>G117-F117</f>
        <v/>
      </c>
      <c r="I117" s="16" t="inlineStr">
        <is>
          <t>월간회비납부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6"/>
  <sheetViews>
    <sheetView zoomScale="85" zoomScaleNormal="85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J12" sqref="J12"/>
    </sheetView>
  </sheetViews>
  <sheetFormatPr baseColWidth="8" defaultRowHeight="16.5" customHeight="1"/>
  <cols>
    <col width="2.375" customWidth="1" style="99" min="1" max="1"/>
    <col width="12.25" customWidth="1" style="99" min="2" max="19"/>
  </cols>
  <sheetData>
    <row r="2" ht="27.75" customHeight="1" s="99">
      <c r="B2" s="58" t="inlineStr">
        <is>
          <t>연월</t>
        </is>
      </c>
      <c r="C2" s="58" t="inlineStr">
        <is>
          <t>개월수 역산</t>
        </is>
      </c>
      <c r="D2" s="61" t="inlineStr">
        <is>
          <t>입금</t>
        </is>
      </c>
      <c r="E2" s="61" t="n"/>
      <c r="F2" s="61" t="n"/>
      <c r="G2" s="61" t="n"/>
      <c r="H2" s="61" t="inlineStr">
        <is>
          <t>출금</t>
        </is>
      </c>
      <c r="I2" s="61" t="n"/>
      <c r="J2" s="61" t="n"/>
      <c r="K2" s="61" t="n"/>
      <c r="L2" s="61" t="n"/>
    </row>
    <row r="3" ht="27.75" customHeight="1" s="99">
      <c r="B3" s="58" t="inlineStr">
        <is>
          <t>연월</t>
        </is>
      </c>
      <c r="C3" s="58" t="inlineStr">
        <is>
          <t>개월수 역산</t>
        </is>
      </c>
      <c r="D3" s="55" t="inlineStr">
        <is>
          <t>회비</t>
        </is>
      </c>
      <c r="E3" s="55" t="inlineStr">
        <is>
          <t>지각비</t>
        </is>
      </c>
      <c r="F3" s="55" t="inlineStr">
        <is>
          <t>이자</t>
        </is>
      </c>
      <c r="G3" s="55" t="inlineStr">
        <is>
          <t>계</t>
        </is>
      </c>
      <c r="H3" s="55" t="inlineStr">
        <is>
          <t>모임비</t>
        </is>
      </c>
      <c r="I3" s="55" t="inlineStr">
        <is>
          <t>강연비</t>
        </is>
      </c>
      <c r="J3" s="55" t="inlineStr">
        <is>
          <t>경조사비</t>
        </is>
      </c>
      <c r="K3" s="55" t="inlineStr">
        <is>
          <t>경품비</t>
        </is>
      </c>
      <c r="L3" s="55" t="inlineStr">
        <is>
          <t>계</t>
        </is>
      </c>
    </row>
    <row r="4" ht="27.75" customHeight="1" s="99">
      <c r="B4" s="56" t="inlineStr">
        <is>
          <t>전체평균</t>
        </is>
      </c>
      <c r="C4" s="56" t="n"/>
      <c r="D4" s="126">
        <f>AVERAGEIFS(D10:D2203,D10:D2203,"&gt;0")</f>
        <v/>
      </c>
      <c r="E4" s="126">
        <f>AVERAGEIFS(E10:E2203,E10:E2203,"&gt;0")</f>
        <v/>
      </c>
      <c r="F4" s="126">
        <f>AVERAGEIFS(F10:F2203,F10:F2203,"&gt;0")</f>
        <v/>
      </c>
      <c r="G4" s="126">
        <f>AVERAGEIFS(G10:G2203,G10:G2203,"&gt;0")</f>
        <v/>
      </c>
      <c r="H4" s="126">
        <f>AVERAGEIFS(H10:H2203,H10:H2203,"&lt;0")</f>
        <v/>
      </c>
      <c r="I4" s="127">
        <f>AVERAGEIFS(I10:I2203,I10:I2203,"&lt;0")</f>
        <v/>
      </c>
      <c r="J4" s="127">
        <f>AVERAGEIFS(J10:J2203,J10:J2203,"&lt;0")</f>
        <v/>
      </c>
      <c r="K4" s="127">
        <f>AVERAGEIFS(K10:K2203,K10:K2203,"&lt;0")</f>
        <v/>
      </c>
      <c r="L4" s="127">
        <f>AVERAGEIFS(L10:L2203,L10:L2203,"&lt;0")</f>
        <v/>
      </c>
    </row>
    <row r="5" ht="27.75" customHeight="1" s="99">
      <c r="A5" s="54" t="n">
        <v>3</v>
      </c>
      <c r="B5" s="71" t="inlineStr">
        <is>
          <t>최근3개월평균</t>
        </is>
      </c>
      <c r="C5" s="56" t="n"/>
      <c r="D5" s="126">
        <f>AVERAGEIFS(D8:D2201,$C$10:$C$2203,"&lt;=3")</f>
        <v/>
      </c>
      <c r="E5" s="126">
        <f>AVERAGEIFS(E8:E2201,$C$10:$C$2203,"&lt;=3")</f>
        <v/>
      </c>
      <c r="F5" s="126">
        <f>AVERAGEIFS(F8:F2201,$C$10:$C$2203,"&lt;=3")</f>
        <v/>
      </c>
      <c r="G5" s="128">
        <f>AVERAGEIFS(G8:G2201,$C$10:$C$2203,"&lt;=3")</f>
        <v/>
      </c>
      <c r="H5" s="126">
        <f>AVERAGEIFS(H$10:H$2203,$C$10:$C$2203,"&lt;=3")</f>
        <v/>
      </c>
      <c r="I5" s="126">
        <f>AVERAGEIFS(I$10:I$2203,$C$10:$C$2203,"&lt;=3")</f>
        <v/>
      </c>
      <c r="J5" s="126">
        <f>AVERAGEIFS(J$10:J$2203,$C$10:$C$2203,"&lt;=3")</f>
        <v/>
      </c>
      <c r="K5" s="126">
        <f>AVERAGEIFS(K$10:K$2203,$C$10:$C$2203,"&lt;=3")</f>
        <v/>
      </c>
      <c r="L5" s="129">
        <f>AVERAGEIFS(L$10:L$2203,$C$10:$C$2203,"&lt;=3")</f>
        <v/>
      </c>
    </row>
    <row r="6" ht="27.75" customHeight="1" s="99">
      <c r="A6" s="54" t="n">
        <v>6</v>
      </c>
      <c r="B6" s="71" t="inlineStr">
        <is>
          <t>최근6개월평균</t>
        </is>
      </c>
      <c r="C6" s="56" t="n"/>
      <c r="D6" s="126">
        <f>AVERAGEIFS(D9:D2202,$C$10:$C$2203,"&lt;=6")</f>
        <v/>
      </c>
      <c r="E6" s="126">
        <f>AVERAGEIFS(E9:E2202,$C$10:$C$2203,"&lt;=6")</f>
        <v/>
      </c>
      <c r="F6" s="126">
        <f>AVERAGEIFS(F9:F2202,$C$10:$C$2203,"&lt;=6")</f>
        <v/>
      </c>
      <c r="G6" s="128">
        <f>AVERAGEIFS(G9:G2202,$C$10:$C$2203,"&lt;=6")</f>
        <v/>
      </c>
      <c r="H6" s="126">
        <f>AVERAGEIFS(H$10:H$2203,$C$10:$C$2203,"&lt;=6")</f>
        <v/>
      </c>
      <c r="I6" s="126">
        <f>AVERAGEIFS(I$10:I$2203,$C$10:$C$2203,"&lt;=6")</f>
        <v/>
      </c>
      <c r="J6" s="126">
        <f>AVERAGEIFS(J$10:J$2203,$C$10:$C$2203,"&lt;=6")</f>
        <v/>
      </c>
      <c r="K6" s="126">
        <f>AVERAGEIFS(K$10:K$2203,$C$10:$C$2203,"&lt;=6")</f>
        <v/>
      </c>
      <c r="L6" s="129">
        <f>AVERAGEIFS(L$10:L$2203,$C$10:$C$2203,"&lt;=6")</f>
        <v/>
      </c>
    </row>
    <row r="7" ht="27.75" customHeight="1" s="99">
      <c r="A7" s="54" t="n">
        <v>12</v>
      </c>
      <c r="B7" s="71" t="inlineStr">
        <is>
          <t>최근12개월평균</t>
        </is>
      </c>
      <c r="C7" s="56" t="n"/>
      <c r="D7" s="126">
        <f>AVERAGEIFS(D10:D2203,$C$10:$C$2203,"&lt;=12")</f>
        <v/>
      </c>
      <c r="E7" s="126">
        <f>AVERAGEIFS(E10:E2203,$C$10:$C$2203,"&lt;=12")</f>
        <v/>
      </c>
      <c r="F7" s="126">
        <f>AVERAGEIFS(F10:F2203,$C$10:$C$2203,"&lt;=12")</f>
        <v/>
      </c>
      <c r="G7" s="128">
        <f>AVERAGEIFS(G10:G2203,$C$10:$C$2203,"&lt;=12")</f>
        <v/>
      </c>
      <c r="H7" s="126">
        <f>AVERAGEIFS(H$10:H$2203,$C$10:$C$2203,"&lt;=12")</f>
        <v/>
      </c>
      <c r="I7" s="126">
        <f>AVERAGEIFS(I$10:I$2203,$C$10:$C$2203,"&lt;=12")</f>
        <v/>
      </c>
      <c r="J7" s="126">
        <f>AVERAGEIFS(J$10:J$2203,$C$10:$C$2203,"&lt;=12")</f>
        <v/>
      </c>
      <c r="K7" s="126">
        <f>AVERAGEIFS(K$10:K$2203,$C$10:$C$2203,"&lt;=12")</f>
        <v/>
      </c>
      <c r="L7" s="129">
        <f>AVERAGEIFS(L$10:L$2203,$C$10:$C$2203,"&lt;=12")</f>
        <v/>
      </c>
    </row>
    <row r="9" ht="16.5" customHeight="1" s="99">
      <c r="B9" s="58" t="inlineStr">
        <is>
          <t>연월</t>
        </is>
      </c>
      <c r="C9" s="58" t="inlineStr">
        <is>
          <t>개월수 역산</t>
        </is>
      </c>
      <c r="D9" s="10" t="inlineStr">
        <is>
          <t>입금</t>
        </is>
      </c>
      <c r="E9" s="10" t="inlineStr">
        <is>
          <t>입금</t>
        </is>
      </c>
      <c r="F9" s="10" t="inlineStr">
        <is>
          <t>입금</t>
        </is>
      </c>
      <c r="G9" s="57" t="inlineStr">
        <is>
          <t>입금</t>
        </is>
      </c>
      <c r="H9" s="10" t="inlineStr">
        <is>
          <t>출금</t>
        </is>
      </c>
      <c r="I9" s="10" t="inlineStr">
        <is>
          <t>출금</t>
        </is>
      </c>
      <c r="J9" s="10" t="inlineStr">
        <is>
          <t>출금</t>
        </is>
      </c>
      <c r="K9" s="10" t="inlineStr">
        <is>
          <t>출금</t>
        </is>
      </c>
      <c r="L9" s="57" t="inlineStr">
        <is>
          <t>출금</t>
        </is>
      </c>
      <c r="M9" s="61" t="inlineStr">
        <is>
          <t>입금-출금</t>
        </is>
      </c>
      <c r="N9" s="62" t="n"/>
      <c r="P9" s="54" t="inlineStr">
        <is>
          <t>차트용</t>
        </is>
      </c>
    </row>
    <row r="10" ht="16.5" customHeight="1" s="99">
      <c r="B10" s="58" t="inlineStr">
        <is>
          <t>연월</t>
        </is>
      </c>
      <c r="C10" s="58" t="inlineStr">
        <is>
          <t>개월수 역산</t>
        </is>
      </c>
      <c r="D10" s="59" t="inlineStr">
        <is>
          <t>회비</t>
        </is>
      </c>
      <c r="E10" s="59" t="inlineStr">
        <is>
          <t>지각비</t>
        </is>
      </c>
      <c r="F10" s="59" t="inlineStr">
        <is>
          <t>이자</t>
        </is>
      </c>
      <c r="G10" s="55" t="inlineStr">
        <is>
          <t>계</t>
        </is>
      </c>
      <c r="H10" s="59" t="inlineStr">
        <is>
          <t>모임비</t>
        </is>
      </c>
      <c r="I10" s="59" t="inlineStr">
        <is>
          <t>강연비</t>
        </is>
      </c>
      <c r="J10" s="59" t="inlineStr">
        <is>
          <t>경조사비</t>
        </is>
      </c>
      <c r="K10" s="59" t="inlineStr">
        <is>
          <t>경품비</t>
        </is>
      </c>
      <c r="L10" s="55" t="inlineStr">
        <is>
          <t>계</t>
        </is>
      </c>
      <c r="M10" s="58" t="inlineStr">
        <is>
          <t>계</t>
        </is>
      </c>
      <c r="N10" s="57" t="inlineStr">
        <is>
          <t>누적</t>
        </is>
      </c>
      <c r="P10" s="58" t="inlineStr">
        <is>
          <t>연월</t>
        </is>
      </c>
      <c r="Q10" s="64" t="inlineStr">
        <is>
          <t>입금</t>
        </is>
      </c>
      <c r="R10" s="65" t="inlineStr">
        <is>
          <t>출금</t>
        </is>
      </c>
      <c r="S10" s="59" t="inlineStr">
        <is>
          <t>누적</t>
        </is>
      </c>
    </row>
    <row r="11" ht="16.5" customHeight="1" s="99">
      <c r="B11" s="56" t="inlineStr">
        <is>
          <t>24년 6월</t>
        </is>
      </c>
      <c r="C11" s="3">
        <f>IF($B11=참고!$D$5,1,C12+1)</f>
        <v/>
      </c>
      <c r="D11" s="126">
        <f>SUMIFS(원장!$H:$H,원장!$A:$A,증감분석!$B11,원장!$D:$D,증감분석!D$9,원장!$E:$E,증감분석!D$10)</f>
        <v/>
      </c>
      <c r="E11" s="126">
        <f>SUMIFS(원장!$H:$H,원장!$A:$A,증감분석!$B11,원장!$D:$D,증감분석!E$9,원장!$E:$E,증감분석!E$10)</f>
        <v/>
      </c>
      <c r="F11" s="126">
        <f>SUMIFS(원장!$H:$H,원장!$A:$A,증감분석!$B11,원장!$D:$D,증감분석!F$9,원장!$E:$E,증감분석!F$10)</f>
        <v/>
      </c>
      <c r="G11" s="126">
        <f>SUM(D11:F11)</f>
        <v/>
      </c>
      <c r="H11" s="126">
        <f>SUMIFS(원장!$H:$H,원장!$A:$A,증감분석!$B11,원장!$D:$D,증감분석!H$9,원장!$E:$E,증감분석!H$10)</f>
        <v/>
      </c>
      <c r="I11" s="126">
        <f>SUMIFS(원장!$H:$H,원장!$A:$A,증감분석!$B11,원장!$D:$D,증감분석!I$9,원장!$E:$E,증감분석!I$10)</f>
        <v/>
      </c>
      <c r="J11" s="126">
        <f>SUMIFS(원장!$H:$H,원장!$A:$A,증감분석!$B11,원장!$D:$D,증감분석!J$9,원장!$E:$E,증감분석!J$10)</f>
        <v/>
      </c>
      <c r="K11" s="126">
        <f>SUMIFS(원장!$H:$H,원장!$A:$A,증감분석!$B11,원장!$D:$D,증감분석!K$9,원장!$E:$E,증감분석!K$10)</f>
        <v/>
      </c>
      <c r="L11" s="126">
        <f>SUM(H11:K11)</f>
        <v/>
      </c>
      <c r="M11" s="126">
        <f>G11+L11</f>
        <v/>
      </c>
      <c r="N11" s="126">
        <f>SUM($M$11:M11)</f>
        <v/>
      </c>
      <c r="P11" s="56">
        <f>B11</f>
        <v/>
      </c>
      <c r="Q11" s="126">
        <f>G11</f>
        <v/>
      </c>
      <c r="R11" s="130">
        <f>-L11</f>
        <v/>
      </c>
      <c r="S11" s="126">
        <f>N11</f>
        <v/>
      </c>
    </row>
    <row r="12" ht="16.5" customHeight="1" s="99">
      <c r="B12" s="56" t="inlineStr">
        <is>
          <t>24년 7월</t>
        </is>
      </c>
      <c r="C12" s="3">
        <f>IF($B12=참고!$D$5,1,C13+1)</f>
        <v/>
      </c>
      <c r="D12" s="126">
        <f>SUMIFS(원장!$H:$H,원장!$A:$A,증감분석!$B12,원장!$D:$D,증감분석!D$9,원장!$E:$E,증감분석!D$10)</f>
        <v/>
      </c>
      <c r="E12" s="126">
        <f>SUMIFS(원장!$H:$H,원장!$A:$A,증감분석!$B12,원장!$D:$D,증감분석!E$9,원장!$E:$E,증감분석!E$10)</f>
        <v/>
      </c>
      <c r="F12" s="126">
        <f>SUMIFS(원장!$H:$H,원장!$A:$A,증감분석!$B12,원장!$D:$D,증감분석!F$9,원장!$E:$E,증감분석!F$10)</f>
        <v/>
      </c>
      <c r="G12" s="126">
        <f>SUM(D12:F12)</f>
        <v/>
      </c>
      <c r="H12" s="126">
        <f>SUMIFS(원장!$H:$H,원장!$A:$A,증감분석!$B12,원장!$D:$D,증감분석!H$9,원장!$E:$E,증감분석!H$10)</f>
        <v/>
      </c>
      <c r="I12" s="126">
        <f>SUMIFS(원장!$H:$H,원장!$A:$A,증감분석!$B12,원장!$D:$D,증감분석!I$9,원장!$E:$E,증감분석!I$10)</f>
        <v/>
      </c>
      <c r="J12" s="126">
        <f>SUMIFS(원장!$H:$H,원장!$A:$A,증감분석!$B12,원장!$D:$D,증감분석!J$9,원장!$E:$E,증감분석!J$10)</f>
        <v/>
      </c>
      <c r="K12" s="126">
        <f>SUMIFS(원장!$H:$H,원장!$A:$A,증감분석!$B12,원장!$D:$D,증감분석!K$9,원장!$E:$E,증감분석!K$10)</f>
        <v/>
      </c>
      <c r="L12" s="126">
        <f>SUM(H12:K12)</f>
        <v/>
      </c>
      <c r="M12" s="126">
        <f>G12+L12</f>
        <v/>
      </c>
      <c r="N12" s="126">
        <f>SUM($M$11:M12)</f>
        <v/>
      </c>
      <c r="P12" s="56">
        <f>B12</f>
        <v/>
      </c>
      <c r="Q12" s="126">
        <f>G12</f>
        <v/>
      </c>
      <c r="R12" s="130">
        <f>-L12</f>
        <v/>
      </c>
      <c r="S12" s="126">
        <f>N12</f>
        <v/>
      </c>
    </row>
    <row r="13" ht="16.5" customHeight="1" s="99">
      <c r="B13" s="56" t="inlineStr">
        <is>
          <t>24년 8월</t>
        </is>
      </c>
      <c r="C13" s="3">
        <f>IF($B13=참고!$D$5,1,C14+1)</f>
        <v/>
      </c>
      <c r="D13" s="126">
        <f>SUMIFS(원장!$H:$H,원장!$A:$A,증감분석!$B13,원장!$D:$D,증감분석!D$9,원장!$E:$E,증감분석!D$10)</f>
        <v/>
      </c>
      <c r="E13" s="126">
        <f>SUMIFS(원장!$H:$H,원장!$A:$A,증감분석!$B13,원장!$D:$D,증감분석!E$9,원장!$E:$E,증감분석!E$10)</f>
        <v/>
      </c>
      <c r="F13" s="126">
        <f>SUMIFS(원장!$H:$H,원장!$A:$A,증감분석!$B13,원장!$D:$D,증감분석!F$9,원장!$E:$E,증감분석!F$10)</f>
        <v/>
      </c>
      <c r="G13" s="126">
        <f>SUM(D13:F13)</f>
        <v/>
      </c>
      <c r="H13" s="126">
        <f>SUMIFS(원장!$H:$H,원장!$A:$A,증감분석!$B13,원장!$D:$D,증감분석!H$9,원장!$E:$E,증감분석!H$10)</f>
        <v/>
      </c>
      <c r="I13" s="126">
        <f>SUMIFS(원장!$H:$H,원장!$A:$A,증감분석!$B13,원장!$D:$D,증감분석!I$9,원장!$E:$E,증감분석!I$10)</f>
        <v/>
      </c>
      <c r="J13" s="126">
        <f>SUMIFS(원장!$H:$H,원장!$A:$A,증감분석!$B13,원장!$D:$D,증감분석!J$9,원장!$E:$E,증감분석!J$10)</f>
        <v/>
      </c>
      <c r="K13" s="126">
        <f>SUMIFS(원장!$H:$H,원장!$A:$A,증감분석!$B13,원장!$D:$D,증감분석!K$9,원장!$E:$E,증감분석!K$10)</f>
        <v/>
      </c>
      <c r="L13" s="126">
        <f>SUM(H13:K13)</f>
        <v/>
      </c>
      <c r="M13" s="126">
        <f>G13+L13</f>
        <v/>
      </c>
      <c r="N13" s="126">
        <f>SUM($M$11:M13)</f>
        <v/>
      </c>
      <c r="P13" s="56">
        <f>B13</f>
        <v/>
      </c>
      <c r="Q13" s="126">
        <f>G13</f>
        <v/>
      </c>
      <c r="R13" s="130">
        <f>-L13</f>
        <v/>
      </c>
      <c r="S13" s="126">
        <f>N13</f>
        <v/>
      </c>
    </row>
    <row r="14" ht="16.5" customHeight="1" s="99">
      <c r="B14" s="56" t="inlineStr">
        <is>
          <t>24년 9월</t>
        </is>
      </c>
      <c r="C14" s="3">
        <f>IF($B14=참고!$D$5,1,C15+1)</f>
        <v/>
      </c>
      <c r="D14" s="126">
        <f>SUMIFS(원장!$H:$H,원장!$A:$A,증감분석!$B14,원장!$D:$D,증감분석!D$9,원장!$E:$E,증감분석!D$10)</f>
        <v/>
      </c>
      <c r="E14" s="126">
        <f>SUMIFS(원장!$H:$H,원장!$A:$A,증감분석!$B14,원장!$D:$D,증감분석!E$9,원장!$E:$E,증감분석!E$10)</f>
        <v/>
      </c>
      <c r="F14" s="126">
        <f>SUMIFS(원장!$H:$H,원장!$A:$A,증감분석!$B14,원장!$D:$D,증감분석!F$9,원장!$E:$E,증감분석!F$10)</f>
        <v/>
      </c>
      <c r="G14" s="126">
        <f>SUM(D14:F14)</f>
        <v/>
      </c>
      <c r="H14" s="126">
        <f>SUMIFS(원장!$H:$H,원장!$A:$A,증감분석!$B14,원장!$D:$D,증감분석!H$9,원장!$E:$E,증감분석!H$10)</f>
        <v/>
      </c>
      <c r="I14" s="126">
        <f>SUMIFS(원장!$H:$H,원장!$A:$A,증감분석!$B14,원장!$D:$D,증감분석!I$9,원장!$E:$E,증감분석!I$10)</f>
        <v/>
      </c>
      <c r="J14" s="126">
        <f>SUMIFS(원장!$H:$H,원장!$A:$A,증감분석!$B14,원장!$D:$D,증감분석!J$9,원장!$E:$E,증감분석!J$10)</f>
        <v/>
      </c>
      <c r="K14" s="126">
        <f>SUMIFS(원장!$H:$H,원장!$A:$A,증감분석!$B14,원장!$D:$D,증감분석!K$9,원장!$E:$E,증감분석!K$10)</f>
        <v/>
      </c>
      <c r="L14" s="126">
        <f>SUM(H14:K14)</f>
        <v/>
      </c>
      <c r="M14" s="126">
        <f>G14+L14</f>
        <v/>
      </c>
      <c r="N14" s="126">
        <f>SUM($M$11:M14)</f>
        <v/>
      </c>
      <c r="P14" s="56">
        <f>B14</f>
        <v/>
      </c>
      <c r="Q14" s="126">
        <f>G14</f>
        <v/>
      </c>
      <c r="R14" s="130">
        <f>-L14</f>
        <v/>
      </c>
      <c r="S14" s="126">
        <f>N14</f>
        <v/>
      </c>
    </row>
    <row r="15" ht="16.5" customHeight="1" s="99">
      <c r="B15" s="56" t="inlineStr">
        <is>
          <t>24년 10월</t>
        </is>
      </c>
      <c r="C15" s="3">
        <f>IF($B15=참고!$D$5,1,C16+1)</f>
        <v/>
      </c>
      <c r="D15" s="126">
        <f>SUMIFS(원장!$H:$H,원장!$A:$A,증감분석!$B15,원장!$D:$D,증감분석!D$9,원장!$E:$E,증감분석!D$10)</f>
        <v/>
      </c>
      <c r="E15" s="126">
        <f>SUMIFS(원장!$H:$H,원장!$A:$A,증감분석!$B15,원장!$D:$D,증감분석!E$9,원장!$E:$E,증감분석!E$10)</f>
        <v/>
      </c>
      <c r="F15" s="126">
        <f>SUMIFS(원장!$H:$H,원장!$A:$A,증감분석!$B15,원장!$D:$D,증감분석!F$9,원장!$E:$E,증감분석!F$10)</f>
        <v/>
      </c>
      <c r="G15" s="126">
        <f>SUM(D15:F15)</f>
        <v/>
      </c>
      <c r="H15" s="126">
        <f>SUMIFS(원장!$H:$H,원장!$A:$A,증감분석!$B15,원장!$D:$D,증감분석!H$9,원장!$E:$E,증감분석!H$10)</f>
        <v/>
      </c>
      <c r="I15" s="126">
        <f>SUMIFS(원장!$H:$H,원장!$A:$A,증감분석!$B15,원장!$D:$D,증감분석!I$9,원장!$E:$E,증감분석!I$10)</f>
        <v/>
      </c>
      <c r="J15" s="126">
        <f>SUMIFS(원장!$H:$H,원장!$A:$A,증감분석!$B15,원장!$D:$D,증감분석!J$9,원장!$E:$E,증감분석!J$10)</f>
        <v/>
      </c>
      <c r="K15" s="126">
        <f>SUMIFS(원장!$H:$H,원장!$A:$A,증감분석!$B15,원장!$D:$D,증감분석!K$9,원장!$E:$E,증감분석!K$10)</f>
        <v/>
      </c>
      <c r="L15" s="126">
        <f>SUM(H15:K15)</f>
        <v/>
      </c>
      <c r="M15" s="126">
        <f>G15+L15</f>
        <v/>
      </c>
      <c r="N15" s="126">
        <f>SUM($M$11:M15)</f>
        <v/>
      </c>
      <c r="P15" s="56">
        <f>B15</f>
        <v/>
      </c>
      <c r="Q15" s="126">
        <f>G15</f>
        <v/>
      </c>
      <c r="R15" s="130">
        <f>-L15</f>
        <v/>
      </c>
      <c r="S15" s="126">
        <f>N15</f>
        <v/>
      </c>
    </row>
    <row r="16" ht="16.5" customHeight="1" s="99">
      <c r="B16" s="56" t="inlineStr">
        <is>
          <t>24년 11월</t>
        </is>
      </c>
      <c r="C16" s="3">
        <f>IF($B16=참고!$D$5,1,C17+1)</f>
        <v/>
      </c>
      <c r="D16" s="126">
        <f>SUMIFS(원장!$H:$H,원장!$A:$A,증감분석!$B16,원장!$D:$D,증감분석!D$9,원장!$E:$E,증감분석!D$10)</f>
        <v/>
      </c>
      <c r="E16" s="126">
        <f>SUMIFS(원장!$H:$H,원장!$A:$A,증감분석!$B16,원장!$D:$D,증감분석!E$9,원장!$E:$E,증감분석!E$10)</f>
        <v/>
      </c>
      <c r="F16" s="126">
        <f>SUMIFS(원장!$H:$H,원장!$A:$A,증감분석!$B16,원장!$D:$D,증감분석!F$9,원장!$E:$E,증감분석!F$10)</f>
        <v/>
      </c>
      <c r="G16" s="126">
        <f>SUM(D16:F16)</f>
        <v/>
      </c>
      <c r="H16" s="126">
        <f>SUMIFS(원장!$H:$H,원장!$A:$A,증감분석!$B16,원장!$D:$D,증감분석!H$9,원장!$E:$E,증감분석!H$10)</f>
        <v/>
      </c>
      <c r="I16" s="126">
        <f>SUMIFS(원장!$H:$H,원장!$A:$A,증감분석!$B16,원장!$D:$D,증감분석!I$9,원장!$E:$E,증감분석!I$10)</f>
        <v/>
      </c>
      <c r="J16" s="126">
        <f>SUMIFS(원장!$H:$H,원장!$A:$A,증감분석!$B16,원장!$D:$D,증감분석!J$9,원장!$E:$E,증감분석!J$10)</f>
        <v/>
      </c>
      <c r="K16" s="126">
        <f>SUMIFS(원장!$H:$H,원장!$A:$A,증감분석!$B16,원장!$D:$D,증감분석!K$9,원장!$E:$E,증감분석!K$10)</f>
        <v/>
      </c>
      <c r="L16" s="126">
        <f>SUM(H16:K16)</f>
        <v/>
      </c>
      <c r="M16" s="126">
        <f>G16+L16</f>
        <v/>
      </c>
      <c r="N16" s="126">
        <f>SUM($M$11:M16)</f>
        <v/>
      </c>
      <c r="P16" s="56">
        <f>B16</f>
        <v/>
      </c>
      <c r="Q16" s="126">
        <f>G16</f>
        <v/>
      </c>
      <c r="R16" s="130">
        <f>-L16</f>
        <v/>
      </c>
      <c r="S16" s="126">
        <f>N16</f>
        <v/>
      </c>
    </row>
    <row r="17" ht="16.5" customHeight="1" s="99">
      <c r="B17" s="56" t="inlineStr">
        <is>
          <t>24년 12월</t>
        </is>
      </c>
      <c r="C17" s="3">
        <f>IF($B17=참고!$D$5,1,C18+1)</f>
        <v/>
      </c>
      <c r="D17" s="126">
        <f>SUMIFS(원장!$H:$H,원장!$A:$A,증감분석!$B17,원장!$D:$D,증감분석!D$9,원장!$E:$E,증감분석!D$10)</f>
        <v/>
      </c>
      <c r="E17" s="126">
        <f>SUMIFS(원장!$H:$H,원장!$A:$A,증감분석!$B17,원장!$D:$D,증감분석!E$9,원장!$E:$E,증감분석!E$10)</f>
        <v/>
      </c>
      <c r="F17" s="126">
        <f>SUMIFS(원장!$H:$H,원장!$A:$A,증감분석!$B17,원장!$D:$D,증감분석!F$9,원장!$E:$E,증감분석!F$10)</f>
        <v/>
      </c>
      <c r="G17" s="126">
        <f>SUM(D17:F17)</f>
        <v/>
      </c>
      <c r="H17" s="126">
        <f>SUMIFS(원장!$H:$H,원장!$A:$A,증감분석!$B17,원장!$D:$D,증감분석!H$9,원장!$E:$E,증감분석!H$10)</f>
        <v/>
      </c>
      <c r="I17" s="126">
        <f>SUMIFS(원장!$H:$H,원장!$A:$A,증감분석!$B17,원장!$D:$D,증감분석!I$9,원장!$E:$E,증감분석!I$10)</f>
        <v/>
      </c>
      <c r="J17" s="126">
        <f>SUMIFS(원장!$H:$H,원장!$A:$A,증감분석!$B17,원장!$D:$D,증감분석!J$9,원장!$E:$E,증감분석!J$10)</f>
        <v/>
      </c>
      <c r="K17" s="126">
        <f>SUMIFS(원장!$H:$H,원장!$A:$A,증감분석!$B17,원장!$D:$D,증감분석!K$9,원장!$E:$E,증감분석!K$10)</f>
        <v/>
      </c>
      <c r="L17" s="126">
        <f>SUM(H17:K17)</f>
        <v/>
      </c>
      <c r="M17" s="126">
        <f>G17+L17</f>
        <v/>
      </c>
      <c r="N17" s="126">
        <f>SUM($M$11:M17)</f>
        <v/>
      </c>
      <c r="P17" s="56">
        <f>B17</f>
        <v/>
      </c>
      <c r="Q17" s="126">
        <f>G17</f>
        <v/>
      </c>
      <c r="R17" s="130">
        <f>-L17</f>
        <v/>
      </c>
      <c r="S17" s="126">
        <f>N17</f>
        <v/>
      </c>
    </row>
    <row r="18" ht="16.5" customHeight="1" s="99">
      <c r="B18" s="56" t="inlineStr">
        <is>
          <t>25년 1월</t>
        </is>
      </c>
      <c r="C18" s="3">
        <f>IF($B18=참고!$D$5,1,C19+1)</f>
        <v/>
      </c>
      <c r="D18" s="126">
        <f>SUMIFS(원장!$H:$H,원장!$A:$A,증감분석!$B18,원장!$D:$D,증감분석!D$9,원장!$E:$E,증감분석!D$10)</f>
        <v/>
      </c>
      <c r="E18" s="126">
        <f>SUMIFS(원장!$H:$H,원장!$A:$A,증감분석!$B18,원장!$D:$D,증감분석!E$9,원장!$E:$E,증감분석!E$10)</f>
        <v/>
      </c>
      <c r="F18" s="126">
        <f>SUMIFS(원장!$H:$H,원장!$A:$A,증감분석!$B18,원장!$D:$D,증감분석!F$9,원장!$E:$E,증감분석!F$10)</f>
        <v/>
      </c>
      <c r="G18" s="126">
        <f>SUM(D18:F18)</f>
        <v/>
      </c>
      <c r="H18" s="126">
        <f>SUMIFS(원장!$H:$H,원장!$A:$A,증감분석!$B18,원장!$D:$D,증감분석!H$9,원장!$E:$E,증감분석!H$10)</f>
        <v/>
      </c>
      <c r="I18" s="126">
        <f>SUMIFS(원장!$H:$H,원장!$A:$A,증감분석!$B18,원장!$D:$D,증감분석!I$9,원장!$E:$E,증감분석!I$10)</f>
        <v/>
      </c>
      <c r="J18" s="126">
        <f>SUMIFS(원장!$H:$H,원장!$A:$A,증감분석!$B18,원장!$D:$D,증감분석!J$9,원장!$E:$E,증감분석!J$10)</f>
        <v/>
      </c>
      <c r="K18" s="126">
        <f>SUMIFS(원장!$H:$H,원장!$A:$A,증감분석!$B18,원장!$D:$D,증감분석!K$9,원장!$E:$E,증감분석!K$10)</f>
        <v/>
      </c>
      <c r="L18" s="126">
        <f>SUM(H18:K18)</f>
        <v/>
      </c>
      <c r="M18" s="126">
        <f>G18+L18</f>
        <v/>
      </c>
      <c r="N18" s="126">
        <f>SUM($M$11:M18)</f>
        <v/>
      </c>
      <c r="P18" s="56">
        <f>B18</f>
        <v/>
      </c>
      <c r="Q18" s="126">
        <f>G18</f>
        <v/>
      </c>
      <c r="R18" s="130">
        <f>-L18</f>
        <v/>
      </c>
      <c r="S18" s="126">
        <f>N18</f>
        <v/>
      </c>
    </row>
    <row r="19" ht="16.5" customHeight="1" s="99">
      <c r="B19" s="56" t="inlineStr">
        <is>
          <t>25년 2월</t>
        </is>
      </c>
      <c r="C19" s="3">
        <f>IF($B19=참고!$D$5,1,C20+1)</f>
        <v/>
      </c>
      <c r="D19" s="126">
        <f>SUMIFS(원장!$H:$H,원장!$A:$A,증감분석!$B19,원장!$D:$D,증감분석!D$9,원장!$E:$E,증감분석!D$10)</f>
        <v/>
      </c>
      <c r="E19" s="126">
        <f>SUMIFS(원장!$H:$H,원장!$A:$A,증감분석!$B19,원장!$D:$D,증감분석!E$9,원장!$E:$E,증감분석!E$10)</f>
        <v/>
      </c>
      <c r="F19" s="126">
        <f>SUMIFS(원장!$H:$H,원장!$A:$A,증감분석!$B19,원장!$D:$D,증감분석!F$9,원장!$E:$E,증감분석!F$10)</f>
        <v/>
      </c>
      <c r="G19" s="126">
        <f>SUM(D19:F19)</f>
        <v/>
      </c>
      <c r="H19" s="126">
        <f>SUMIFS(원장!$H:$H,원장!$A:$A,증감분석!$B19,원장!$D:$D,증감분석!H$9,원장!$E:$E,증감분석!H$10)</f>
        <v/>
      </c>
      <c r="I19" s="126">
        <f>SUMIFS(원장!$H:$H,원장!$A:$A,증감분석!$B19,원장!$D:$D,증감분석!I$9,원장!$E:$E,증감분석!I$10)</f>
        <v/>
      </c>
      <c r="J19" s="126">
        <f>SUMIFS(원장!$H:$H,원장!$A:$A,증감분석!$B19,원장!$D:$D,증감분석!J$9,원장!$E:$E,증감분석!J$10)</f>
        <v/>
      </c>
      <c r="K19" s="126">
        <f>SUMIFS(원장!$H:$H,원장!$A:$A,증감분석!$B19,원장!$D:$D,증감분석!K$9,원장!$E:$E,증감분석!K$10)</f>
        <v/>
      </c>
      <c r="L19" s="126">
        <f>SUM(H19:K19)</f>
        <v/>
      </c>
      <c r="M19" s="126">
        <f>G19+L19</f>
        <v/>
      </c>
      <c r="N19" s="126">
        <f>SUM($M$11:M19)</f>
        <v/>
      </c>
      <c r="P19" s="56">
        <f>B19</f>
        <v/>
      </c>
      <c r="Q19" s="126">
        <f>G19</f>
        <v/>
      </c>
      <c r="R19" s="130">
        <f>-L19</f>
        <v/>
      </c>
      <c r="S19" s="126">
        <f>N19</f>
        <v/>
      </c>
    </row>
    <row r="20" ht="16.5" customHeight="1" s="99">
      <c r="B20" s="56" t="inlineStr">
        <is>
          <t>25년 3월</t>
        </is>
      </c>
      <c r="C20" s="3">
        <f>IF($B20=참고!$D$5,1,C21+1)</f>
        <v/>
      </c>
      <c r="D20" s="126">
        <f>SUMIFS(원장!$H:$H,원장!$A:$A,증감분석!$B20,원장!$D:$D,증감분석!D$9,원장!$E:$E,증감분석!D$10)</f>
        <v/>
      </c>
      <c r="E20" s="126">
        <f>SUMIFS(원장!$H:$H,원장!$A:$A,증감분석!$B20,원장!$D:$D,증감분석!E$9,원장!$E:$E,증감분석!E$10)</f>
        <v/>
      </c>
      <c r="F20" s="126">
        <f>SUMIFS(원장!$H:$H,원장!$A:$A,증감분석!$B20,원장!$D:$D,증감분석!F$9,원장!$E:$E,증감분석!F$10)</f>
        <v/>
      </c>
      <c r="G20" s="126">
        <f>SUM(D20:F20)</f>
        <v/>
      </c>
      <c r="H20" s="126">
        <f>SUMIFS(원장!$H:$H,원장!$A:$A,증감분석!$B20,원장!$D:$D,증감분석!H$9,원장!$E:$E,증감분석!H$10)</f>
        <v/>
      </c>
      <c r="I20" s="126">
        <f>SUMIFS(원장!$H:$H,원장!$A:$A,증감분석!$B20,원장!$D:$D,증감분석!I$9,원장!$E:$E,증감분석!I$10)</f>
        <v/>
      </c>
      <c r="J20" s="126">
        <f>SUMIFS(원장!$H:$H,원장!$A:$A,증감분석!$B20,원장!$D:$D,증감분석!J$9,원장!$E:$E,증감분석!J$10)</f>
        <v/>
      </c>
      <c r="K20" s="126">
        <f>SUMIFS(원장!$H:$H,원장!$A:$A,증감분석!$B20,원장!$D:$D,증감분석!K$9,원장!$E:$E,증감분석!K$10)</f>
        <v/>
      </c>
      <c r="L20" s="126">
        <f>SUM(H20:K20)</f>
        <v/>
      </c>
      <c r="M20" s="126">
        <f>G20+L20</f>
        <v/>
      </c>
      <c r="N20" s="126">
        <f>SUM($M$11:M20)</f>
        <v/>
      </c>
      <c r="P20" s="56">
        <f>B20</f>
        <v/>
      </c>
      <c r="Q20" s="126">
        <f>G20</f>
        <v/>
      </c>
      <c r="R20" s="130">
        <f>-L20</f>
        <v/>
      </c>
      <c r="S20" s="126">
        <f>N20</f>
        <v/>
      </c>
    </row>
    <row r="21" ht="16.5" customHeight="1" s="99">
      <c r="B21" s="56" t="inlineStr">
        <is>
          <t>25년 4월</t>
        </is>
      </c>
      <c r="C21" s="3">
        <f>IF($B21=참고!$D$5,1,C22+1)</f>
        <v/>
      </c>
      <c r="D21" s="126">
        <f>SUMIFS(원장!$H:$H,원장!$A:$A,증감분석!$B21,원장!$D:$D,증감분석!D$9,원장!$E:$E,증감분석!D$10)</f>
        <v/>
      </c>
      <c r="E21" s="126">
        <f>SUMIFS(원장!$H:$H,원장!$A:$A,증감분석!$B21,원장!$D:$D,증감분석!E$9,원장!$E:$E,증감분석!E$10)</f>
        <v/>
      </c>
      <c r="F21" s="126">
        <f>SUMIFS(원장!$H:$H,원장!$A:$A,증감분석!$B21,원장!$D:$D,증감분석!F$9,원장!$E:$E,증감분석!F$10)</f>
        <v/>
      </c>
      <c r="G21" s="126">
        <f>SUM(D21:F21)</f>
        <v/>
      </c>
      <c r="H21" s="126">
        <f>SUMIFS(원장!$H:$H,원장!$A:$A,증감분석!$B21,원장!$D:$D,증감분석!H$9,원장!$E:$E,증감분석!H$10)</f>
        <v/>
      </c>
      <c r="I21" s="126">
        <f>SUMIFS(원장!$H:$H,원장!$A:$A,증감분석!$B21,원장!$D:$D,증감분석!I$9,원장!$E:$E,증감분석!I$10)</f>
        <v/>
      </c>
      <c r="J21" s="126">
        <f>SUMIFS(원장!$H:$H,원장!$A:$A,증감분석!$B21,원장!$D:$D,증감분석!J$9,원장!$E:$E,증감분석!J$10)</f>
        <v/>
      </c>
      <c r="K21" s="126">
        <f>SUMIFS(원장!$H:$H,원장!$A:$A,증감분석!$B21,원장!$D:$D,증감분석!K$9,원장!$E:$E,증감분석!K$10)</f>
        <v/>
      </c>
      <c r="L21" s="126">
        <f>SUM(H21:K21)</f>
        <v/>
      </c>
      <c r="M21" s="126">
        <f>G21+L21</f>
        <v/>
      </c>
      <c r="N21" s="126">
        <f>SUM($M$11:M21)</f>
        <v/>
      </c>
      <c r="P21" s="56">
        <f>B21</f>
        <v/>
      </c>
      <c r="Q21" s="126">
        <f>G21</f>
        <v/>
      </c>
      <c r="R21" s="130">
        <f>-L21</f>
        <v/>
      </c>
      <c r="S21" s="126">
        <f>N21</f>
        <v/>
      </c>
    </row>
    <row r="22" ht="16.5" customHeight="1" s="99">
      <c r="B22" s="56" t="inlineStr">
        <is>
          <t>25년 5월</t>
        </is>
      </c>
      <c r="C22" s="3">
        <f>IF($B22=참고!$D$5,1,C23+1)</f>
        <v/>
      </c>
      <c r="D22" s="126">
        <f>SUMIFS(원장!$H:$H,원장!$A:$A,증감분석!$B22,원장!$D:$D,증감분석!D$9,원장!$E:$E,증감분석!D$10)</f>
        <v/>
      </c>
      <c r="E22" s="126">
        <f>SUMIFS(원장!$H:$H,원장!$A:$A,증감분석!$B22,원장!$D:$D,증감분석!E$9,원장!$E:$E,증감분석!E$10)</f>
        <v/>
      </c>
      <c r="F22" s="126">
        <f>SUMIFS(원장!$H:$H,원장!$A:$A,증감분석!$B22,원장!$D:$D,증감분석!F$9,원장!$E:$E,증감분석!F$10)</f>
        <v/>
      </c>
      <c r="G22" s="126">
        <f>SUM(D22:F22)</f>
        <v/>
      </c>
      <c r="H22" s="126">
        <f>SUMIFS(원장!$H:$H,원장!$A:$A,증감분석!$B22,원장!$D:$D,증감분석!H$9,원장!$E:$E,증감분석!H$10)</f>
        <v/>
      </c>
      <c r="I22" s="126">
        <f>SUMIFS(원장!$H:$H,원장!$A:$A,증감분석!$B22,원장!$D:$D,증감분석!I$9,원장!$E:$E,증감분석!I$10)</f>
        <v/>
      </c>
      <c r="J22" s="126">
        <f>SUMIFS(원장!$H:$H,원장!$A:$A,증감분석!$B22,원장!$D:$D,증감분석!J$9,원장!$E:$E,증감분석!J$10)</f>
        <v/>
      </c>
      <c r="K22" s="126">
        <f>SUMIFS(원장!$H:$H,원장!$A:$A,증감분석!$B22,원장!$D:$D,증감분석!K$9,원장!$E:$E,증감분석!K$10)</f>
        <v/>
      </c>
      <c r="L22" s="126">
        <f>SUM(H22:K22)</f>
        <v/>
      </c>
      <c r="M22" s="126">
        <f>G22+L22</f>
        <v/>
      </c>
      <c r="N22" s="126">
        <f>SUM($M$11:M22)</f>
        <v/>
      </c>
      <c r="P22" s="56">
        <f>B22</f>
        <v/>
      </c>
      <c r="Q22" s="126">
        <f>G22</f>
        <v/>
      </c>
      <c r="R22" s="130">
        <f>-L22</f>
        <v/>
      </c>
      <c r="S22" s="126">
        <f>N22</f>
        <v/>
      </c>
    </row>
    <row r="23" ht="16.5" customHeight="1" s="99">
      <c r="B23" s="56" t="inlineStr">
        <is>
          <t>25년 6월</t>
        </is>
      </c>
      <c r="C23" s="3">
        <f>IF($B23=참고!$D$5,1,C24+1)</f>
        <v/>
      </c>
      <c r="D23" s="126">
        <f>SUMIFS(원장!$H:$H,원장!$A:$A,증감분석!$B23,원장!$D:$D,증감분석!D$9,원장!$E:$E,증감분석!D$10)</f>
        <v/>
      </c>
      <c r="E23" s="126">
        <f>SUMIFS(원장!$H:$H,원장!$A:$A,증감분석!$B23,원장!$D:$D,증감분석!E$9,원장!$E:$E,증감분석!E$10)</f>
        <v/>
      </c>
      <c r="F23" s="126">
        <f>SUMIFS(원장!$H:$H,원장!$A:$A,증감분석!$B23,원장!$D:$D,증감분석!F$9,원장!$E:$E,증감분석!F$10)</f>
        <v/>
      </c>
      <c r="G23" s="126">
        <f>SUM(D23:F23)</f>
        <v/>
      </c>
      <c r="H23" s="126">
        <f>SUMIFS(원장!$H:$H,원장!$A:$A,증감분석!$B23,원장!$D:$D,증감분석!H$9,원장!$E:$E,증감분석!H$10)</f>
        <v/>
      </c>
      <c r="I23" s="126">
        <f>SUMIFS(원장!$H:$H,원장!$A:$A,증감분석!$B23,원장!$D:$D,증감분석!I$9,원장!$E:$E,증감분석!I$10)</f>
        <v/>
      </c>
      <c r="J23" s="126">
        <f>SUMIFS(원장!$H:$H,원장!$A:$A,증감분석!$B23,원장!$D:$D,증감분석!J$9,원장!$E:$E,증감분석!J$10)</f>
        <v/>
      </c>
      <c r="K23" s="126">
        <f>SUMIFS(원장!$H:$H,원장!$A:$A,증감분석!$B23,원장!$D:$D,증감분석!K$9,원장!$E:$E,증감분석!K$10)</f>
        <v/>
      </c>
      <c r="L23" s="126">
        <f>SUM(H23:K23)</f>
        <v/>
      </c>
      <c r="M23" s="126">
        <f>G23+L23</f>
        <v/>
      </c>
      <c r="N23" s="126">
        <f>SUM($M$11:M23)</f>
        <v/>
      </c>
      <c r="P23" s="56">
        <f>B23</f>
        <v/>
      </c>
      <c r="Q23" s="126">
        <f>G23</f>
        <v/>
      </c>
      <c r="R23" s="130">
        <f>-L23</f>
        <v/>
      </c>
      <c r="S23" s="126">
        <f>N23</f>
        <v/>
      </c>
    </row>
    <row r="24" ht="16.5" customHeight="1" s="99">
      <c r="B24" s="56" t="inlineStr">
        <is>
          <t>25년 7월</t>
        </is>
      </c>
      <c r="C24" s="3">
        <f>IF($B24=참고!$D$5,1,C25+1)</f>
        <v/>
      </c>
      <c r="D24" s="126">
        <f>SUMIFS(원장!$H:$H,원장!$A:$A,증감분석!$B24,원장!$D:$D,증감분석!D$9,원장!$E:$E,증감분석!D$10)</f>
        <v/>
      </c>
      <c r="E24" s="126">
        <f>SUMIFS(원장!$H:$H,원장!$A:$A,증감분석!$B24,원장!$D:$D,증감분석!E$9,원장!$E:$E,증감분석!E$10)</f>
        <v/>
      </c>
      <c r="F24" s="126">
        <f>SUMIFS(원장!$H:$H,원장!$A:$A,증감분석!$B24,원장!$D:$D,증감분석!F$9,원장!$E:$E,증감분석!F$10)</f>
        <v/>
      </c>
      <c r="G24" s="126">
        <f>SUM(D24:F24)</f>
        <v/>
      </c>
      <c r="H24" s="126">
        <f>SUMIFS(원장!$H:$H,원장!$A:$A,증감분석!$B24,원장!$D:$D,증감분석!H$9,원장!$E:$E,증감분석!H$10)</f>
        <v/>
      </c>
      <c r="I24" s="126">
        <f>SUMIFS(원장!$H:$H,원장!$A:$A,증감분석!$B24,원장!$D:$D,증감분석!I$9,원장!$E:$E,증감분석!I$10)</f>
        <v/>
      </c>
      <c r="J24" s="126">
        <f>SUMIFS(원장!$H:$H,원장!$A:$A,증감분석!$B24,원장!$D:$D,증감분석!J$9,원장!$E:$E,증감분석!J$10)</f>
        <v/>
      </c>
      <c r="K24" s="126">
        <f>SUMIFS(원장!$H:$H,원장!$A:$A,증감분석!$B24,원장!$D:$D,증감분석!K$9,원장!$E:$E,증감분석!K$10)</f>
        <v/>
      </c>
      <c r="L24" s="126">
        <f>SUM(H24:K24)</f>
        <v/>
      </c>
      <c r="M24" s="126">
        <f>G24+L24</f>
        <v/>
      </c>
      <c r="N24" s="126">
        <f>SUM($M$11:M24)</f>
        <v/>
      </c>
      <c r="P24" s="56">
        <f>B24</f>
        <v/>
      </c>
      <c r="Q24" s="126">
        <f>G24</f>
        <v/>
      </c>
      <c r="R24" s="130">
        <f>-L24</f>
        <v/>
      </c>
      <c r="S24" s="126">
        <f>N24</f>
        <v/>
      </c>
    </row>
    <row r="25" ht="16.5" customHeight="1" s="99">
      <c r="B25" s="56" t="inlineStr">
        <is>
          <t>25년 8월</t>
        </is>
      </c>
      <c r="C25" s="3">
        <f>IF($B25=참고!$D$5,1,C26+1)</f>
        <v/>
      </c>
      <c r="D25" s="126">
        <f>SUMIFS(원장!$H:$H,원장!$A:$A,증감분석!$B25,원장!$D:$D,증감분석!D$9,원장!$E:$E,증감분석!D$10)</f>
        <v/>
      </c>
      <c r="E25" s="126">
        <f>SUMIFS(원장!$H:$H,원장!$A:$A,증감분석!$B25,원장!$D:$D,증감분석!E$9,원장!$E:$E,증감분석!E$10)</f>
        <v/>
      </c>
      <c r="F25" s="126">
        <f>SUMIFS(원장!$H:$H,원장!$A:$A,증감분석!$B25,원장!$D:$D,증감분석!F$9,원장!$E:$E,증감분석!F$10)</f>
        <v/>
      </c>
      <c r="G25" s="126">
        <f>SUM(D25:F25)</f>
        <v/>
      </c>
      <c r="H25" s="126">
        <f>SUMIFS(원장!$H:$H,원장!$A:$A,증감분석!$B25,원장!$D:$D,증감분석!H$9,원장!$E:$E,증감분석!H$10)</f>
        <v/>
      </c>
      <c r="I25" s="126">
        <f>SUMIFS(원장!$H:$H,원장!$A:$A,증감분석!$B25,원장!$D:$D,증감분석!I$9,원장!$E:$E,증감분석!I$10)</f>
        <v/>
      </c>
      <c r="J25" s="126">
        <f>SUMIFS(원장!$H:$H,원장!$A:$A,증감분석!$B25,원장!$D:$D,증감분석!J$9,원장!$E:$E,증감분석!J$10)</f>
        <v/>
      </c>
      <c r="K25" s="126">
        <f>SUMIFS(원장!$H:$H,원장!$A:$A,증감분석!$B25,원장!$D:$D,증감분석!K$9,원장!$E:$E,증감분석!K$10)</f>
        <v/>
      </c>
      <c r="L25" s="126">
        <f>SUM(H25:K25)</f>
        <v/>
      </c>
      <c r="M25" s="126">
        <f>G25+L25</f>
        <v/>
      </c>
      <c r="N25" s="126">
        <f>SUM($M$11:M25)</f>
        <v/>
      </c>
      <c r="P25" s="56">
        <f>B25</f>
        <v/>
      </c>
      <c r="Q25" s="126">
        <f>G25</f>
        <v/>
      </c>
      <c r="R25" s="130">
        <f>-L25</f>
        <v/>
      </c>
      <c r="S25" s="126">
        <f>N25</f>
        <v/>
      </c>
    </row>
    <row r="26" ht="16.5" customHeight="1" s="99">
      <c r="B26" s="56" t="inlineStr">
        <is>
          <t>25년 9월</t>
        </is>
      </c>
      <c r="C26" s="3">
        <f>IF($B26=참고!$D$5,1,C27+1)</f>
        <v/>
      </c>
      <c r="D26" s="126">
        <f>SUMIFS(원장!$H:$H,원장!$A:$A,증감분석!$B26,원장!$D:$D,증감분석!D$9,원장!$E:$E,증감분석!D$10)</f>
        <v/>
      </c>
      <c r="E26" s="126">
        <f>SUMIFS(원장!$H:$H,원장!$A:$A,증감분석!$B26,원장!$D:$D,증감분석!E$9,원장!$E:$E,증감분석!E$10)</f>
        <v/>
      </c>
      <c r="F26" s="126">
        <f>SUMIFS(원장!$H:$H,원장!$A:$A,증감분석!$B26,원장!$D:$D,증감분석!F$9,원장!$E:$E,증감분석!F$10)</f>
        <v/>
      </c>
      <c r="G26" s="126">
        <f>SUM(D26:F26)</f>
        <v/>
      </c>
      <c r="H26" s="126">
        <f>SUMIFS(원장!$H:$H,원장!$A:$A,증감분석!$B26,원장!$D:$D,증감분석!H$9,원장!$E:$E,증감분석!H$10)</f>
        <v/>
      </c>
      <c r="I26" s="126">
        <f>SUMIFS(원장!$H:$H,원장!$A:$A,증감분석!$B26,원장!$D:$D,증감분석!I$9,원장!$E:$E,증감분석!I$10)</f>
        <v/>
      </c>
      <c r="J26" s="126">
        <f>SUMIFS(원장!$H:$H,원장!$A:$A,증감분석!$B26,원장!$D:$D,증감분석!J$9,원장!$E:$E,증감분석!J$10)</f>
        <v/>
      </c>
      <c r="K26" s="126">
        <f>SUMIFS(원장!$H:$H,원장!$A:$A,증감분석!$B26,원장!$D:$D,증감분석!K$9,원장!$E:$E,증감분석!K$10)</f>
        <v/>
      </c>
      <c r="L26" s="126">
        <f>SUM(H26:K26)</f>
        <v/>
      </c>
      <c r="M26" s="126">
        <f>G26+L26</f>
        <v/>
      </c>
      <c r="N26" s="126">
        <f>SUM($M$11:M26)</f>
        <v/>
      </c>
      <c r="P26" s="56">
        <f>B26</f>
        <v/>
      </c>
      <c r="Q26" s="126">
        <f>G26</f>
        <v/>
      </c>
      <c r="R26" s="130">
        <f>-L26</f>
        <v/>
      </c>
      <c r="S26" s="126">
        <f>N26</f>
        <v/>
      </c>
    </row>
    <row r="27" ht="16.5" customHeight="1" s="99">
      <c r="B27" s="56" t="inlineStr">
        <is>
          <t>25년 10월</t>
        </is>
      </c>
      <c r="C27" s="3">
        <f>IF($B27=참고!$D$5,1,C28+1)</f>
        <v/>
      </c>
      <c r="D27" s="126">
        <f>SUMIFS(원장!$H:$H,원장!$A:$A,증감분석!$B27,원장!$D:$D,증감분석!D$9,원장!$E:$E,증감분석!D$10)</f>
        <v/>
      </c>
      <c r="E27" s="126">
        <f>SUMIFS(원장!$H:$H,원장!$A:$A,증감분석!$B27,원장!$D:$D,증감분석!E$9,원장!$E:$E,증감분석!E$10)</f>
        <v/>
      </c>
      <c r="F27" s="126">
        <f>SUMIFS(원장!$H:$H,원장!$A:$A,증감분석!$B27,원장!$D:$D,증감분석!F$9,원장!$E:$E,증감분석!F$10)</f>
        <v/>
      </c>
      <c r="G27" s="126">
        <f>SUM(D27:F27)</f>
        <v/>
      </c>
      <c r="H27" s="126">
        <f>SUMIFS(원장!$H:$H,원장!$A:$A,증감분석!$B27,원장!$D:$D,증감분석!H$9,원장!$E:$E,증감분석!H$10)</f>
        <v/>
      </c>
      <c r="I27" s="126">
        <f>SUMIFS(원장!$H:$H,원장!$A:$A,증감분석!$B27,원장!$D:$D,증감분석!I$9,원장!$E:$E,증감분석!I$10)</f>
        <v/>
      </c>
      <c r="J27" s="126">
        <f>SUMIFS(원장!$H:$H,원장!$A:$A,증감분석!$B27,원장!$D:$D,증감분석!J$9,원장!$E:$E,증감분석!J$10)</f>
        <v/>
      </c>
      <c r="K27" s="126">
        <f>SUMIFS(원장!$H:$H,원장!$A:$A,증감분석!$B27,원장!$D:$D,증감분석!K$9,원장!$E:$E,증감분석!K$10)</f>
        <v/>
      </c>
      <c r="L27" s="126">
        <f>SUM(H27:K27)</f>
        <v/>
      </c>
      <c r="M27" s="126">
        <f>G27+L27</f>
        <v/>
      </c>
      <c r="N27" s="126">
        <f>SUM($M$11:M27)</f>
        <v/>
      </c>
      <c r="P27" s="56">
        <f>B27</f>
        <v/>
      </c>
      <c r="Q27" s="126">
        <f>G27</f>
        <v/>
      </c>
      <c r="R27" s="130">
        <f>-L27</f>
        <v/>
      </c>
      <c r="S27" s="126">
        <f>N27</f>
        <v/>
      </c>
    </row>
    <row r="28" ht="16.5" customHeight="1" s="99">
      <c r="B28" s="56" t="inlineStr">
        <is>
          <t>25년 11월</t>
        </is>
      </c>
      <c r="C28" s="3">
        <f>IF($B28=참고!$D$5,1,C29+1)</f>
        <v/>
      </c>
      <c r="D28" s="126">
        <f>SUMIFS(원장!$H:$H,원장!$A:$A,증감분석!$B28,원장!$D:$D,증감분석!D$9,원장!$E:$E,증감분석!D$10)</f>
        <v/>
      </c>
      <c r="E28" s="126">
        <f>SUMIFS(원장!$H:$H,원장!$A:$A,증감분석!$B28,원장!$D:$D,증감분석!E$9,원장!$E:$E,증감분석!E$10)</f>
        <v/>
      </c>
      <c r="F28" s="126">
        <f>SUMIFS(원장!$H:$H,원장!$A:$A,증감분석!$B28,원장!$D:$D,증감분석!F$9,원장!$E:$E,증감분석!F$10)</f>
        <v/>
      </c>
      <c r="G28" s="126">
        <f>SUM(D28:F28)</f>
        <v/>
      </c>
      <c r="H28" s="126">
        <f>SUMIFS(원장!$H:$H,원장!$A:$A,증감분석!$B28,원장!$D:$D,증감분석!H$9,원장!$E:$E,증감분석!H$10)</f>
        <v/>
      </c>
      <c r="I28" s="126">
        <f>SUMIFS(원장!$H:$H,원장!$A:$A,증감분석!$B28,원장!$D:$D,증감분석!I$9,원장!$E:$E,증감분석!I$10)</f>
        <v/>
      </c>
      <c r="J28" s="126">
        <f>SUMIFS(원장!$H:$H,원장!$A:$A,증감분석!$B28,원장!$D:$D,증감분석!J$9,원장!$E:$E,증감분석!J$10)</f>
        <v/>
      </c>
      <c r="K28" s="126">
        <f>SUMIFS(원장!$H:$H,원장!$A:$A,증감분석!$B28,원장!$D:$D,증감분석!K$9,원장!$E:$E,증감분석!K$10)</f>
        <v/>
      </c>
      <c r="L28" s="126">
        <f>SUM(H28:K28)</f>
        <v/>
      </c>
      <c r="M28" s="126">
        <f>G28+L28</f>
        <v/>
      </c>
      <c r="N28" s="126">
        <f>SUM($M$11:M28)</f>
        <v/>
      </c>
      <c r="P28" s="56">
        <f>B28</f>
        <v/>
      </c>
      <c r="Q28" s="126">
        <f>G28</f>
        <v/>
      </c>
      <c r="R28" s="130">
        <f>-L28</f>
        <v/>
      </c>
      <c r="S28" s="126">
        <f>N28</f>
        <v/>
      </c>
    </row>
    <row r="29" ht="16.5" customHeight="1" s="99">
      <c r="B29" s="56" t="inlineStr">
        <is>
          <t>25년 12월</t>
        </is>
      </c>
      <c r="C29" s="3">
        <f>IF($B29=참고!$D$5,1,C30+1)</f>
        <v/>
      </c>
      <c r="D29" s="126">
        <f>SUMIFS(원장!$H:$H,원장!$A:$A,증감분석!$B29,원장!$D:$D,증감분석!D$9,원장!$E:$E,증감분석!D$10)</f>
        <v/>
      </c>
      <c r="E29" s="126">
        <f>SUMIFS(원장!$H:$H,원장!$A:$A,증감분석!$B29,원장!$D:$D,증감분석!E$9,원장!$E:$E,증감분석!E$10)</f>
        <v/>
      </c>
      <c r="F29" s="126">
        <f>SUMIFS(원장!$H:$H,원장!$A:$A,증감분석!$B29,원장!$D:$D,증감분석!F$9,원장!$E:$E,증감분석!F$10)</f>
        <v/>
      </c>
      <c r="G29" s="126">
        <f>SUM(D29:F29)</f>
        <v/>
      </c>
      <c r="H29" s="126">
        <f>SUMIFS(원장!$H:$H,원장!$A:$A,증감분석!$B29,원장!$D:$D,증감분석!H$9,원장!$E:$E,증감분석!H$10)</f>
        <v/>
      </c>
      <c r="I29" s="126">
        <f>SUMIFS(원장!$H:$H,원장!$A:$A,증감분석!$B29,원장!$D:$D,증감분석!I$9,원장!$E:$E,증감분석!I$10)</f>
        <v/>
      </c>
      <c r="J29" s="126">
        <f>SUMIFS(원장!$H:$H,원장!$A:$A,증감분석!$B29,원장!$D:$D,증감분석!J$9,원장!$E:$E,증감분석!J$10)</f>
        <v/>
      </c>
      <c r="K29" s="126">
        <f>SUMIFS(원장!$H:$H,원장!$A:$A,증감분석!$B29,원장!$D:$D,증감분석!K$9,원장!$E:$E,증감분석!K$10)</f>
        <v/>
      </c>
      <c r="L29" s="126">
        <f>SUM(H29:K29)</f>
        <v/>
      </c>
      <c r="M29" s="126">
        <f>G29+L29</f>
        <v/>
      </c>
      <c r="N29" s="126">
        <f>SUM($M$11:M29)</f>
        <v/>
      </c>
      <c r="P29" s="56">
        <f>B29</f>
        <v/>
      </c>
      <c r="Q29" s="126">
        <f>G29</f>
        <v/>
      </c>
      <c r="R29" s="130">
        <f>-L29</f>
        <v/>
      </c>
      <c r="S29" s="126">
        <f>N29</f>
        <v/>
      </c>
    </row>
    <row r="30" ht="16.5" customHeight="1" s="99">
      <c r="B30" s="56" t="inlineStr">
        <is>
          <t>26년 1월</t>
        </is>
      </c>
      <c r="C30" s="3">
        <f>IF($B30=참고!$D$5,1,C31+1)</f>
        <v/>
      </c>
      <c r="D30" s="126">
        <f>SUMIFS(원장!$H:$H,원장!$A:$A,증감분석!$B30,원장!$D:$D,증감분석!D$9,원장!$E:$E,증감분석!D$10)</f>
        <v/>
      </c>
      <c r="E30" s="126">
        <f>SUMIFS(원장!$H:$H,원장!$A:$A,증감분석!$B30,원장!$D:$D,증감분석!E$9,원장!$E:$E,증감분석!E$10)</f>
        <v/>
      </c>
      <c r="F30" s="126">
        <f>SUMIFS(원장!$H:$H,원장!$A:$A,증감분석!$B30,원장!$D:$D,증감분석!F$9,원장!$E:$E,증감분석!F$10)</f>
        <v/>
      </c>
      <c r="G30" s="126">
        <f>SUM(D30:F30)</f>
        <v/>
      </c>
      <c r="H30" s="126">
        <f>SUMIFS(원장!$H:$H,원장!$A:$A,증감분석!$B30,원장!$D:$D,증감분석!H$9,원장!$E:$E,증감분석!H$10)</f>
        <v/>
      </c>
      <c r="I30" s="126">
        <f>SUMIFS(원장!$H:$H,원장!$A:$A,증감분석!$B30,원장!$D:$D,증감분석!I$9,원장!$E:$E,증감분석!I$10)</f>
        <v/>
      </c>
      <c r="J30" s="126">
        <f>SUMIFS(원장!$H:$H,원장!$A:$A,증감분석!$B30,원장!$D:$D,증감분석!J$9,원장!$E:$E,증감분석!J$10)</f>
        <v/>
      </c>
      <c r="K30" s="126">
        <f>SUMIFS(원장!$H:$H,원장!$A:$A,증감분석!$B30,원장!$D:$D,증감분석!K$9,원장!$E:$E,증감분석!K$10)</f>
        <v/>
      </c>
      <c r="L30" s="126">
        <f>SUM(H30:K30)</f>
        <v/>
      </c>
      <c r="M30" s="126">
        <f>G30+L30</f>
        <v/>
      </c>
      <c r="N30" s="126">
        <f>SUM($M$11:M30)</f>
        <v/>
      </c>
      <c r="P30" s="56">
        <f>B30</f>
        <v/>
      </c>
      <c r="Q30" s="126">
        <f>G30</f>
        <v/>
      </c>
      <c r="R30" s="130">
        <f>-L30</f>
        <v/>
      </c>
      <c r="S30" s="126">
        <f>N30</f>
        <v/>
      </c>
    </row>
    <row r="31" ht="16.5" customHeight="1" s="99">
      <c r="B31" s="56" t="inlineStr">
        <is>
          <t>26년 2월</t>
        </is>
      </c>
      <c r="C31" s="3">
        <f>IF($B31=참고!$D$5,1,C32+1)</f>
        <v/>
      </c>
      <c r="D31" s="126">
        <f>SUMIFS(원장!$H:$H,원장!$A:$A,증감분석!$B31,원장!$D:$D,증감분석!D$9,원장!$E:$E,증감분석!D$10)</f>
        <v/>
      </c>
      <c r="E31" s="126">
        <f>SUMIFS(원장!$H:$H,원장!$A:$A,증감분석!$B31,원장!$D:$D,증감분석!E$9,원장!$E:$E,증감분석!E$10)</f>
        <v/>
      </c>
      <c r="F31" s="126">
        <f>SUMIFS(원장!$H:$H,원장!$A:$A,증감분석!$B31,원장!$D:$D,증감분석!F$9,원장!$E:$E,증감분석!F$10)</f>
        <v/>
      </c>
      <c r="G31" s="126">
        <f>SUM(D31:F31)</f>
        <v/>
      </c>
      <c r="H31" s="126">
        <f>SUMIFS(원장!$H:$H,원장!$A:$A,증감분석!$B31,원장!$D:$D,증감분석!H$9,원장!$E:$E,증감분석!H$10)</f>
        <v/>
      </c>
      <c r="I31" s="126">
        <f>SUMIFS(원장!$H:$H,원장!$A:$A,증감분석!$B31,원장!$D:$D,증감분석!I$9,원장!$E:$E,증감분석!I$10)</f>
        <v/>
      </c>
      <c r="J31" s="126">
        <f>SUMIFS(원장!$H:$H,원장!$A:$A,증감분석!$B31,원장!$D:$D,증감분석!J$9,원장!$E:$E,증감분석!J$10)</f>
        <v/>
      </c>
      <c r="K31" s="126">
        <f>SUMIFS(원장!$H:$H,원장!$A:$A,증감분석!$B31,원장!$D:$D,증감분석!K$9,원장!$E:$E,증감분석!K$10)</f>
        <v/>
      </c>
      <c r="L31" s="126">
        <f>SUM(H31:K31)</f>
        <v/>
      </c>
      <c r="M31" s="126">
        <f>G31+L31</f>
        <v/>
      </c>
      <c r="N31" s="126">
        <f>SUM($M$11:M31)</f>
        <v/>
      </c>
      <c r="P31" s="56">
        <f>B31</f>
        <v/>
      </c>
      <c r="Q31" s="126">
        <f>G31</f>
        <v/>
      </c>
      <c r="R31" s="130">
        <f>-L31</f>
        <v/>
      </c>
      <c r="S31" s="126">
        <f>N31</f>
        <v/>
      </c>
    </row>
    <row r="32" ht="16.5" customHeight="1" s="99">
      <c r="B32" s="56" t="inlineStr">
        <is>
          <t>26년 3월</t>
        </is>
      </c>
      <c r="C32" s="3">
        <f>IF($B32=참고!$D$5,1,C33+1)</f>
        <v/>
      </c>
      <c r="D32" s="126">
        <f>SUMIFS(원장!$H:$H,원장!$A:$A,증감분석!$B32,원장!$D:$D,증감분석!D$9,원장!$E:$E,증감분석!D$10)</f>
        <v/>
      </c>
      <c r="E32" s="126">
        <f>SUMIFS(원장!$H:$H,원장!$A:$A,증감분석!$B32,원장!$D:$D,증감분석!E$9,원장!$E:$E,증감분석!E$10)</f>
        <v/>
      </c>
      <c r="F32" s="126">
        <f>SUMIFS(원장!$H:$H,원장!$A:$A,증감분석!$B32,원장!$D:$D,증감분석!F$9,원장!$E:$E,증감분석!F$10)</f>
        <v/>
      </c>
      <c r="G32" s="126">
        <f>SUM(D32:F32)</f>
        <v/>
      </c>
      <c r="H32" s="126">
        <f>SUMIFS(원장!$H:$H,원장!$A:$A,증감분석!$B32,원장!$D:$D,증감분석!H$9,원장!$E:$E,증감분석!H$10)</f>
        <v/>
      </c>
      <c r="I32" s="126">
        <f>SUMIFS(원장!$H:$H,원장!$A:$A,증감분석!$B32,원장!$D:$D,증감분석!I$9,원장!$E:$E,증감분석!I$10)</f>
        <v/>
      </c>
      <c r="J32" s="126">
        <f>SUMIFS(원장!$H:$H,원장!$A:$A,증감분석!$B32,원장!$D:$D,증감분석!J$9,원장!$E:$E,증감분석!J$10)</f>
        <v/>
      </c>
      <c r="K32" s="126">
        <f>SUMIFS(원장!$H:$H,원장!$A:$A,증감분석!$B32,원장!$D:$D,증감분석!K$9,원장!$E:$E,증감분석!K$10)</f>
        <v/>
      </c>
      <c r="L32" s="126">
        <f>SUM(H32:K32)</f>
        <v/>
      </c>
      <c r="M32" s="126">
        <f>G32+L32</f>
        <v/>
      </c>
      <c r="N32" s="126">
        <f>SUM($M$11:M32)</f>
        <v/>
      </c>
      <c r="P32" s="56">
        <f>B32</f>
        <v/>
      </c>
      <c r="Q32" s="126">
        <f>G32</f>
        <v/>
      </c>
      <c r="R32" s="130">
        <f>-L32</f>
        <v/>
      </c>
      <c r="S32" s="126">
        <f>N32</f>
        <v/>
      </c>
    </row>
    <row r="33">
      <c r="B33" s="56" t="inlineStr">
        <is>
          <t>26년 4월</t>
        </is>
      </c>
      <c r="C33" s="3">
        <f>IF($B33=참고!$D$5,1,C34+1)</f>
        <v/>
      </c>
      <c r="D33" s="126">
        <f>SUMIFS(원장!$H:$H,원장!$A:$A,증감분석!$B33,원장!$D:$D,증감분석!D$9,원장!$E:$E,증감분석!D$10)</f>
        <v/>
      </c>
      <c r="E33" s="126">
        <f>SUMIFS(원장!$H:$H,원장!$A:$A,증감분석!$B33,원장!$D:$D,증감분석!E$9,원장!$E:$E,증감분석!E$10)</f>
        <v/>
      </c>
      <c r="F33" s="126">
        <f>SUMIFS(원장!$H:$H,원장!$A:$A,증감분석!$B33,원장!$D:$D,증감분석!F$9,원장!$E:$E,증감분석!F$10)</f>
        <v/>
      </c>
      <c r="G33" s="126">
        <f>SUM(D33:F33)</f>
        <v/>
      </c>
      <c r="H33" s="126">
        <f>SUMIFS(원장!$H:$H,원장!$A:$A,증감분석!$B33,원장!$D:$D,증감분석!H$9,원장!$E:$E,증감분석!H$10)</f>
        <v/>
      </c>
      <c r="I33" s="126">
        <f>SUMIFS(원장!$H:$H,원장!$A:$A,증감분석!$B33,원장!$D:$D,증감분석!I$9,원장!$E:$E,증감분석!I$10)</f>
        <v/>
      </c>
      <c r="J33" s="126">
        <f>SUMIFS(원장!$H:$H,원장!$A:$A,증감분석!$B33,원장!$D:$D,증감분석!J$9,원장!$E:$E,증감분석!J$10)</f>
        <v/>
      </c>
      <c r="K33" s="126">
        <f>SUMIFS(원장!$H:$H,원장!$A:$A,증감분석!$B33,원장!$D:$D,증감분석!K$9,원장!$E:$E,증감분석!K$10)</f>
        <v/>
      </c>
      <c r="L33" s="126">
        <f>SUM(H33:K33)</f>
        <v/>
      </c>
      <c r="M33" s="126">
        <f>G33+L33</f>
        <v/>
      </c>
      <c r="N33" s="126">
        <f>SUM($M$11:M33)</f>
        <v/>
      </c>
      <c r="P33" s="56">
        <f>B33</f>
        <v/>
      </c>
      <c r="Q33" s="126">
        <f>G33</f>
        <v/>
      </c>
      <c r="R33" s="130">
        <f>-L33</f>
        <v/>
      </c>
      <c r="S33" s="126">
        <f>N33</f>
        <v/>
      </c>
    </row>
    <row r="34">
      <c r="B34" s="56" t="inlineStr">
        <is>
          <t>26년 5월</t>
        </is>
      </c>
      <c r="C34" s="3">
        <f>IF($B34=참고!$D$5,1,C35+1)</f>
        <v/>
      </c>
      <c r="D34" s="126">
        <f>SUMIFS(원장!$H:$H,원장!$A:$A,증감분석!$B34,원장!$D:$D,증감분석!D$9,원장!$E:$E,증감분석!D$10)</f>
        <v/>
      </c>
      <c r="E34" s="126">
        <f>SUMIFS(원장!$H:$H,원장!$A:$A,증감분석!$B34,원장!$D:$D,증감분석!E$9,원장!$E:$E,증감분석!E$10)</f>
        <v/>
      </c>
      <c r="F34" s="126">
        <f>SUMIFS(원장!$H:$H,원장!$A:$A,증감분석!$B34,원장!$D:$D,증감분석!F$9,원장!$E:$E,증감분석!F$10)</f>
        <v/>
      </c>
      <c r="G34" s="126">
        <f>SUM(D34:F34)</f>
        <v/>
      </c>
      <c r="H34" s="126">
        <f>SUMIFS(원장!$H:$H,원장!$A:$A,증감분석!$B34,원장!$D:$D,증감분석!H$9,원장!$E:$E,증감분석!H$10)</f>
        <v/>
      </c>
      <c r="I34" s="126">
        <f>SUMIFS(원장!$H:$H,원장!$A:$A,증감분석!$B34,원장!$D:$D,증감분석!I$9,원장!$E:$E,증감분석!I$10)</f>
        <v/>
      </c>
      <c r="J34" s="126">
        <f>SUMIFS(원장!$H:$H,원장!$A:$A,증감분석!$B34,원장!$D:$D,증감분석!J$9,원장!$E:$E,증감분석!J$10)</f>
        <v/>
      </c>
      <c r="K34" s="126">
        <f>SUMIFS(원장!$H:$H,원장!$A:$A,증감분석!$B34,원장!$D:$D,증감분석!K$9,원장!$E:$E,증감분석!K$10)</f>
        <v/>
      </c>
      <c r="L34" s="126">
        <f>SUM(H34:K34)</f>
        <v/>
      </c>
      <c r="M34" s="126">
        <f>G34+L34</f>
        <v/>
      </c>
      <c r="N34" s="126">
        <f>SUM($M$11:M34)</f>
        <v/>
      </c>
      <c r="P34" s="56">
        <f>B34</f>
        <v/>
      </c>
      <c r="Q34" s="126">
        <f>G34</f>
        <v/>
      </c>
      <c r="R34" s="130">
        <f>-L34</f>
        <v/>
      </c>
      <c r="S34" s="126">
        <f>N34</f>
        <v/>
      </c>
    </row>
    <row r="35">
      <c r="B35" s="56" t="inlineStr">
        <is>
          <t>26년 6월</t>
        </is>
      </c>
      <c r="C35" s="3">
        <f>IF($B35=참고!$D$5,1,C36+1)</f>
        <v/>
      </c>
      <c r="D35" s="126">
        <f>SUMIFS(원장!$H:$H,원장!$A:$A,증감분석!$B35,원장!$D:$D,증감분석!D$9,원장!$E:$E,증감분석!D$10)</f>
        <v/>
      </c>
      <c r="E35" s="126">
        <f>SUMIFS(원장!$H:$H,원장!$A:$A,증감분석!$B35,원장!$D:$D,증감분석!E$9,원장!$E:$E,증감분석!E$10)</f>
        <v/>
      </c>
      <c r="F35" s="126">
        <f>SUMIFS(원장!$H:$H,원장!$A:$A,증감분석!$B35,원장!$D:$D,증감분석!F$9,원장!$E:$E,증감분석!F$10)</f>
        <v/>
      </c>
      <c r="G35" s="126">
        <f>SUM(D35:F35)</f>
        <v/>
      </c>
      <c r="H35" s="126">
        <f>SUMIFS(원장!$H:$H,원장!$A:$A,증감분석!$B35,원장!$D:$D,증감분석!H$9,원장!$E:$E,증감분석!H$10)</f>
        <v/>
      </c>
      <c r="I35" s="126">
        <f>SUMIFS(원장!$H:$H,원장!$A:$A,증감분석!$B35,원장!$D:$D,증감분석!I$9,원장!$E:$E,증감분석!I$10)</f>
        <v/>
      </c>
      <c r="J35" s="126">
        <f>SUMIFS(원장!$H:$H,원장!$A:$A,증감분석!$B35,원장!$D:$D,증감분석!J$9,원장!$E:$E,증감분석!J$10)</f>
        <v/>
      </c>
      <c r="K35" s="126">
        <f>SUMIFS(원장!$H:$H,원장!$A:$A,증감분석!$B35,원장!$D:$D,증감분석!K$9,원장!$E:$E,증감분석!K$10)</f>
        <v/>
      </c>
      <c r="L35" s="126">
        <f>SUM(H35:K35)</f>
        <v/>
      </c>
      <c r="M35" s="126">
        <f>G35+L35</f>
        <v/>
      </c>
      <c r="N35" s="126">
        <f>SUM($M$11:M35)</f>
        <v/>
      </c>
      <c r="P35" s="56">
        <f>B35</f>
        <v/>
      </c>
      <c r="Q35" s="126">
        <f>G35</f>
        <v/>
      </c>
      <c r="R35" s="130">
        <f>-L35</f>
        <v/>
      </c>
      <c r="S35" s="126">
        <f>N35</f>
        <v/>
      </c>
    </row>
    <row r="36">
      <c r="B36" s="56" t="inlineStr">
        <is>
          <t>26년 7월</t>
        </is>
      </c>
      <c r="C36" s="3">
        <f>IF($B36=참고!$D$5,1,C37+1)</f>
        <v/>
      </c>
      <c r="D36" s="126">
        <f>SUMIFS(원장!$H:$H,원장!$A:$A,증감분석!$B36,원장!$D:$D,증감분석!D$9,원장!$E:$E,증감분석!D$10)</f>
        <v/>
      </c>
      <c r="E36" s="126">
        <f>SUMIFS(원장!$H:$H,원장!$A:$A,증감분석!$B36,원장!$D:$D,증감분석!E$9,원장!$E:$E,증감분석!E$10)</f>
        <v/>
      </c>
      <c r="F36" s="126">
        <f>SUMIFS(원장!$H:$H,원장!$A:$A,증감분석!$B36,원장!$D:$D,증감분석!F$9,원장!$E:$E,증감분석!F$10)</f>
        <v/>
      </c>
      <c r="G36" s="126">
        <f>SUM(D36:F36)</f>
        <v/>
      </c>
      <c r="H36" s="126">
        <f>SUMIFS(원장!$H:$H,원장!$A:$A,증감분석!$B36,원장!$D:$D,증감분석!H$9,원장!$E:$E,증감분석!H$10)</f>
        <v/>
      </c>
      <c r="I36" s="126">
        <f>SUMIFS(원장!$H:$H,원장!$A:$A,증감분석!$B36,원장!$D:$D,증감분석!I$9,원장!$E:$E,증감분석!I$10)</f>
        <v/>
      </c>
      <c r="J36" s="126">
        <f>SUMIFS(원장!$H:$H,원장!$A:$A,증감분석!$B36,원장!$D:$D,증감분석!J$9,원장!$E:$E,증감분석!J$10)</f>
        <v/>
      </c>
      <c r="K36" s="126">
        <f>SUMIFS(원장!$H:$H,원장!$A:$A,증감분석!$B36,원장!$D:$D,증감분석!K$9,원장!$E:$E,증감분석!K$10)</f>
        <v/>
      </c>
      <c r="L36" s="126">
        <f>SUM(H36:K36)</f>
        <v/>
      </c>
      <c r="M36" s="126">
        <f>G36+L36</f>
        <v/>
      </c>
      <c r="N36" s="126">
        <f>SUM($M$11:M36)</f>
        <v/>
      </c>
      <c r="P36" s="56">
        <f>B36</f>
        <v/>
      </c>
      <c r="Q36" s="126">
        <f>G36</f>
        <v/>
      </c>
      <c r="R36" s="130">
        <f>-L36</f>
        <v/>
      </c>
      <c r="S36" s="126">
        <f>N36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70" zoomScaleNormal="70" workbookViewId="0">
      <selection activeCell="AD22" sqref="AD22"/>
    </sheetView>
  </sheetViews>
  <sheetFormatPr baseColWidth="8" defaultRowHeight="16.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C2" sqref="C2"/>
    </sheetView>
  </sheetViews>
  <sheetFormatPr baseColWidth="8" defaultRowHeight="16.5"/>
  <cols>
    <col width="10.875" bestFit="1" customWidth="1" style="99" min="1" max="1"/>
  </cols>
  <sheetData>
    <row r="1">
      <c r="A1" s="68">
        <f>TODAY()</f>
        <v/>
      </c>
      <c r="B1" s="67">
        <f>YEAR(A1)</f>
        <v/>
      </c>
      <c r="C1" s="67">
        <f>MONTH(A1)</f>
        <v/>
      </c>
      <c r="D1" s="67">
        <f>IF(C1-1=0,12,C1-1)</f>
        <v/>
      </c>
      <c r="E1" s="67">
        <f>IF(D1-1=0,12,D1-1)</f>
        <v/>
      </c>
      <c r="F1" s="67">
        <f>IF(E1-1=0,12,E1-1)</f>
        <v/>
      </c>
      <c r="G1" s="67">
        <f>IF(F1-1=0,12,F1-1)</f>
        <v/>
      </c>
      <c r="H1" s="67">
        <f>IF(G1-1=0,12,G1-1)</f>
        <v/>
      </c>
      <c r="I1" s="67">
        <f>IF(H1-1=0,12,H1-1)</f>
        <v/>
      </c>
      <c r="J1" s="67">
        <f>IF(I1-1=0,12,I1-1)</f>
        <v/>
      </c>
      <c r="K1" s="67">
        <f>IF(J1-1=0,12,J1-1)</f>
        <v/>
      </c>
      <c r="L1" s="67">
        <f>IF(K1-1=0,12,K1-1)</f>
        <v/>
      </c>
      <c r="M1" s="67">
        <f>IF(L1-1=0,12,L1-1)</f>
        <v/>
      </c>
      <c r="N1" s="67">
        <f>IF(M1-1=0,12,M1-1)</f>
        <v/>
      </c>
      <c r="O1" s="67">
        <f>IF(N1-1=0,12,N1-1)</f>
        <v/>
      </c>
    </row>
    <row r="2">
      <c r="B2" s="67">
        <f>RIGHT(B1,2)</f>
        <v/>
      </c>
      <c r="C2" s="67">
        <f>B2-1</f>
        <v/>
      </c>
    </row>
    <row r="3">
      <c r="B3" s="67">
        <f>B2&amp;"년"</f>
        <v/>
      </c>
      <c r="C3" s="67">
        <f>C2&amp;"년"</f>
        <v/>
      </c>
    </row>
    <row r="4">
      <c r="D4" s="67">
        <f>D1&amp;"월"</f>
        <v/>
      </c>
      <c r="E4" s="67">
        <f>E1&amp;"월"</f>
        <v/>
      </c>
      <c r="F4" s="67">
        <f>F1&amp;"월"</f>
        <v/>
      </c>
      <c r="G4" s="67">
        <f>G1&amp;"월"</f>
        <v/>
      </c>
      <c r="H4" s="67">
        <f>H1&amp;"월"</f>
        <v/>
      </c>
      <c r="I4" s="67">
        <f>I1&amp;"월"</f>
        <v/>
      </c>
      <c r="J4" s="67">
        <f>J1&amp;"월"</f>
        <v/>
      </c>
      <c r="K4" s="67">
        <f>K1&amp;"월"</f>
        <v/>
      </c>
      <c r="L4" s="67">
        <f>L1&amp;"월"</f>
        <v/>
      </c>
      <c r="M4" s="67">
        <f>M1&amp;"월"</f>
        <v/>
      </c>
      <c r="N4" s="67">
        <f>N1&amp;"월"</f>
        <v/>
      </c>
      <c r="O4" s="67">
        <f>O1&amp;"월"</f>
        <v/>
      </c>
    </row>
    <row r="5">
      <c r="D5" s="67">
        <f>IF(D1&gt;=$C$1,$C$3&amp;" "&amp;D4,$B$3&amp;" "&amp;D4)</f>
        <v/>
      </c>
      <c r="E5" s="67">
        <f>IF(E1&gt;=$C$1,$C$3&amp;" "&amp;E4,$B$3&amp;" "&amp;E4)</f>
        <v/>
      </c>
      <c r="F5" s="67">
        <f>IF(F1&gt;=$C$1,$C$3&amp;" "&amp;F4,$B$3&amp;" "&amp;F4)</f>
        <v/>
      </c>
      <c r="G5" s="67">
        <f>IF(G1&gt;=$C$1,$C$3&amp;" "&amp;G4,$B$3&amp;" "&amp;G4)</f>
        <v/>
      </c>
      <c r="H5" s="67">
        <f>IF(H1&gt;=$C$1,$C$3&amp;" "&amp;H4,$B$3&amp;" "&amp;H4)</f>
        <v/>
      </c>
      <c r="I5" s="67">
        <f>IF(I1&gt;=$C$1,$C$3&amp;" "&amp;I4,$B$3&amp;" "&amp;I4)</f>
        <v/>
      </c>
      <c r="J5" s="67">
        <f>IF(J1&gt;=$C$1,$C$3&amp;" "&amp;J4,$B$3&amp;" "&amp;J4)</f>
        <v/>
      </c>
      <c r="K5" s="67">
        <f>IF(K1&gt;=$C$1,$C$3&amp;" "&amp;K4,$B$3&amp;" "&amp;K4)</f>
        <v/>
      </c>
      <c r="L5" s="67">
        <f>IF(L1&gt;=$C$1,$C$3&amp;" "&amp;L4,$B$3&amp;" "&amp;L4)</f>
        <v/>
      </c>
      <c r="M5" s="67">
        <f>IF(M1&gt;=$C$1,$C$3&amp;" "&amp;M4,$B$3&amp;" "&amp;M4)</f>
        <v/>
      </c>
      <c r="N5" s="67">
        <f>IF(N1&gt;=$C$1,$C$3&amp;" "&amp;N4,$B$3&amp;" "&amp;N4)</f>
        <v/>
      </c>
      <c r="O5" s="67">
        <f>IF(O1&gt;=$C$1,$C$3&amp;" "&amp;O4,$B$3&amp;" "&amp;O4)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5:M16"/>
  <sheetViews>
    <sheetView showGridLines="0" zoomScale="115" zoomScaleNormal="115" workbookViewId="0">
      <selection activeCell="G14" sqref="G14"/>
    </sheetView>
  </sheetViews>
  <sheetFormatPr baseColWidth="8" defaultRowHeight="16.5"/>
  <cols>
    <col width="7.5" customWidth="1" style="99" min="1" max="2"/>
    <col width="6.625" customWidth="1" style="99" min="3" max="4"/>
    <col width="13.375" customWidth="1" style="54" min="5" max="9"/>
    <col width="13.375" customWidth="1" style="99" min="10" max="11"/>
    <col width="6.625" customWidth="1" style="99" min="12" max="13"/>
  </cols>
  <sheetData>
    <row r="5">
      <c r="C5" s="84" t="n"/>
      <c r="D5" s="85" t="n"/>
      <c r="E5" s="86" t="n"/>
      <c r="F5" s="86" t="n"/>
      <c r="G5" s="86" t="n"/>
      <c r="H5" s="86" t="n"/>
      <c r="I5" s="86" t="n"/>
      <c r="J5" s="85" t="n"/>
      <c r="K5" s="85" t="n"/>
      <c r="L5" s="85" t="n"/>
      <c r="M5" s="87" t="n"/>
    </row>
    <row r="6">
      <c r="C6" s="88" t="n"/>
      <c r="M6" s="89" t="n"/>
    </row>
    <row r="7">
      <c r="C7" s="88" t="n"/>
      <c r="M7" s="89" t="n"/>
    </row>
    <row r="8" ht="17.25" customHeight="1" s="99" thickBot="1">
      <c r="C8" s="88" t="n"/>
      <c r="M8" s="89" t="n"/>
    </row>
    <row r="9">
      <c r="C9" s="88" t="n"/>
      <c r="E9" s="77" t="inlineStr">
        <is>
          <t>주요 정보</t>
        </is>
      </c>
      <c r="F9" s="94">
        <f>회비입출내역!F1</f>
        <v/>
      </c>
      <c r="G9" s="81">
        <f>회비입출내역!$C$1</f>
        <v/>
      </c>
      <c r="H9" s="81">
        <f>증감분석!B5</f>
        <v/>
      </c>
      <c r="I9" s="81">
        <f>증감분석!B6</f>
        <v/>
      </c>
      <c r="J9" s="1">
        <f>증감분석!$B$7</f>
        <v/>
      </c>
      <c r="K9" s="1" t="inlineStr">
        <is>
          <t>누적</t>
        </is>
      </c>
      <c r="M9" s="89" t="n"/>
    </row>
    <row r="10">
      <c r="C10" s="88" t="n"/>
      <c r="E10" s="78" t="inlineStr">
        <is>
          <t>입금액</t>
        </is>
      </c>
      <c r="F10" s="131">
        <f>회비입출내역!$G$4</f>
        <v/>
      </c>
      <c r="G10" s="132">
        <f>회비입출내역!$D$4</f>
        <v/>
      </c>
      <c r="H10" s="133">
        <f>증감분석!$G$5</f>
        <v/>
      </c>
      <c r="I10" s="133">
        <f>증감분석!$G$6</f>
        <v/>
      </c>
      <c r="J10" s="133">
        <f>증감분석!$G$7</f>
        <v/>
      </c>
      <c r="K10" s="134">
        <f>회비입출내역!$J$4</f>
        <v/>
      </c>
      <c r="M10" s="89" t="n"/>
    </row>
    <row r="11">
      <c r="C11" s="88" t="n"/>
      <c r="E11" s="79" t="inlineStr">
        <is>
          <t>출금액</t>
        </is>
      </c>
      <c r="F11" s="135">
        <f>회비입출내역!$G$9</f>
        <v/>
      </c>
      <c r="G11" s="136">
        <f>회비입출내역!$D$9</f>
        <v/>
      </c>
      <c r="H11" s="126">
        <f>증감분석!$L$5</f>
        <v/>
      </c>
      <c r="I11" s="126">
        <f>증감분석!$L$6</f>
        <v/>
      </c>
      <c r="J11" s="126">
        <f>증감분석!$L$7</f>
        <v/>
      </c>
      <c r="K11" s="137">
        <f>회비입출내역!$J$9</f>
        <v/>
      </c>
      <c r="M11" s="89" t="n"/>
    </row>
    <row r="12" ht="17.25" customHeight="1" s="99" thickBot="1">
      <c r="C12" s="88" t="n"/>
      <c r="E12" s="80" t="inlineStr">
        <is>
          <t>입금액 - 출금액</t>
        </is>
      </c>
      <c r="F12" s="138">
        <f>SUM(F10:F11)</f>
        <v/>
      </c>
      <c r="G12" s="130">
        <f>SUM(G10:G11)</f>
        <v/>
      </c>
      <c r="H12" s="130">
        <f>SUM(H10:H11)</f>
        <v/>
      </c>
      <c r="I12" s="130">
        <f>SUM(I10:I11)</f>
        <v/>
      </c>
      <c r="J12" s="130">
        <f>SUM(J10:J11)</f>
        <v/>
      </c>
      <c r="K12" s="126">
        <f>SUM(K10:K11)</f>
        <v/>
      </c>
      <c r="M12" s="89" t="n"/>
    </row>
    <row r="13">
      <c r="C13" s="88" t="n"/>
      <c r="M13" s="89" t="n"/>
    </row>
    <row r="14">
      <c r="C14" s="88" t="n"/>
      <c r="M14" s="89" t="n"/>
    </row>
    <row r="15">
      <c r="C15" s="88" t="n"/>
      <c r="M15" s="89" t="n"/>
    </row>
    <row r="16">
      <c r="C16" s="90" t="n"/>
      <c r="D16" s="91" t="n"/>
      <c r="E16" s="92" t="n"/>
      <c r="F16" s="92" t="n"/>
      <c r="G16" s="92" t="n"/>
      <c r="H16" s="92" t="n"/>
      <c r="I16" s="92" t="n"/>
      <c r="J16" s="91" t="n"/>
      <c r="K16" s="91" t="n"/>
      <c r="L16" s="91" t="n"/>
      <c r="M16" s="9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L6" sqref="L6"/>
    </sheetView>
  </sheetViews>
  <sheetFormatPr baseColWidth="8" defaultRowHeight="16.5"/>
  <cols>
    <col width="9.5" customWidth="1" style="99" min="1" max="2"/>
  </cols>
  <sheetData>
    <row r="1">
      <c r="A1" s="13" t="inlineStr">
        <is>
          <t>월별Tab Weekday 함수용</t>
        </is>
      </c>
      <c r="B1" s="13" t="n"/>
    </row>
    <row r="2">
      <c r="A2" s="2" t="inlineStr">
        <is>
          <t>숫자</t>
        </is>
      </c>
      <c r="B2" s="2" t="inlineStr">
        <is>
          <t>요일</t>
        </is>
      </c>
    </row>
    <row r="3">
      <c r="A3" s="5" t="n">
        <v>1</v>
      </c>
      <c r="B3" s="5" t="inlineStr">
        <is>
          <t>월</t>
        </is>
      </c>
    </row>
    <row r="4">
      <c r="A4" s="5" t="n">
        <v>2</v>
      </c>
      <c r="B4" s="5" t="inlineStr">
        <is>
          <t>화</t>
        </is>
      </c>
    </row>
    <row r="5">
      <c r="A5" s="5" t="n">
        <v>3</v>
      </c>
      <c r="B5" s="5" t="inlineStr">
        <is>
          <t>수</t>
        </is>
      </c>
    </row>
    <row r="6">
      <c r="A6" s="5" t="n">
        <v>4</v>
      </c>
      <c r="B6" s="5" t="inlineStr">
        <is>
          <t>목</t>
        </is>
      </c>
    </row>
    <row r="7">
      <c r="A7" s="5" t="n">
        <v>5</v>
      </c>
      <c r="B7" s="5" t="inlineStr">
        <is>
          <t>금</t>
        </is>
      </c>
    </row>
    <row r="8">
      <c r="A8" s="5" t="n">
        <v>6</v>
      </c>
      <c r="B8" s="5" t="inlineStr">
        <is>
          <t>토</t>
        </is>
      </c>
    </row>
    <row r="9">
      <c r="A9" s="5" t="n">
        <v>7</v>
      </c>
      <c r="B9" s="5" t="inlineStr">
        <is>
          <t>일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지엽 옥</dc:creator>
  <dcterms:created xmlns:dcterms="http://purl.org/dc/terms/" xmlns:xsi="http://www.w3.org/2001/XMLSchema-instance" xsi:type="dcterms:W3CDTF">2024-12-01T00:42:40Z</dcterms:created>
  <dcterms:modified xmlns:dcterms="http://purl.org/dc/terms/" xmlns:xsi="http://www.w3.org/2001/XMLSchema-instance" xsi:type="dcterms:W3CDTF">2026-07-01T13:14:32Z</dcterms:modified>
  <cp:lastModifiedBy>지엽 옥</cp:lastModifiedBy>
  <cp:lastPrinted>2026-02-01T17:37:22Z</cp:lastPrinted>
</cp:coreProperties>
</file>